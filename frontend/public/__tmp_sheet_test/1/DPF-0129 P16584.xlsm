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BS\AppData\Local\Microsoft\Windows\INetCache\Content.Outlook\KCAEGBRJ\"/>
    </mc:Choice>
  </mc:AlternateContent>
  <xr:revisionPtr revIDLastSave="0" documentId="13_ncr:1_{875A9068-FB09-4F17-BEE2-B10E3FE76EAE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Sheet2" sheetId="3" state="hidden" r:id="rId1"/>
    <sheet name="Sheet4" sheetId="6" r:id="rId2"/>
    <sheet name="Sheet1 (2)" sheetId="5" state="hidden" r:id="rId3"/>
  </sheets>
  <definedNames>
    <definedName name="form1">#REF!</definedName>
    <definedName name="_xlnm.Print_Area" localSheetId="2">'Sheet1 (2)'!$A$2:$I$59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" i="6" l="1"/>
  <c r="I49" i="6" s="1"/>
</calcChain>
</file>

<file path=xl/sharedStrings.xml><?xml version="1.0" encoding="utf-8"?>
<sst xmlns="http://schemas.openxmlformats.org/spreadsheetml/2006/main" count="390" uniqueCount="157">
  <si>
    <t>Design Date :</t>
  </si>
  <si>
    <t>Style No</t>
  </si>
  <si>
    <t>Model No</t>
  </si>
  <si>
    <t>Finialised by</t>
  </si>
  <si>
    <t>CAD Designer</t>
  </si>
  <si>
    <t>Model Maker</t>
  </si>
  <si>
    <t>Proj Coordinator</t>
  </si>
  <si>
    <t>Jacket</t>
  </si>
  <si>
    <t>Ref Style No</t>
  </si>
  <si>
    <t>Ref Model No</t>
  </si>
  <si>
    <t>Description</t>
  </si>
  <si>
    <t>CAD WT</t>
  </si>
  <si>
    <t>Finding</t>
  </si>
  <si>
    <t>QTY</t>
  </si>
  <si>
    <t>Technical Gold WT</t>
  </si>
  <si>
    <t>Color</t>
  </si>
  <si>
    <t>With SP</t>
  </si>
  <si>
    <t>W/O SP</t>
  </si>
  <si>
    <t>Total :</t>
  </si>
  <si>
    <t>Ring Size</t>
  </si>
  <si>
    <t>Comp/</t>
  </si>
  <si>
    <t>AVG WT</t>
  </si>
  <si>
    <t>DIA QTY</t>
  </si>
  <si>
    <t>Setting Code</t>
  </si>
  <si>
    <t>Shp</t>
  </si>
  <si>
    <t>Reference Image</t>
  </si>
  <si>
    <t xml:space="preserve">Design </t>
  </si>
  <si>
    <t>CAD</t>
  </si>
  <si>
    <t>Sample</t>
  </si>
  <si>
    <t>Model</t>
  </si>
  <si>
    <t>Model Finish, Numbering &amp; Stamping</t>
  </si>
  <si>
    <t>CAD Approval</t>
  </si>
  <si>
    <t>Model Approval</t>
  </si>
  <si>
    <t xml:space="preserve">Approval Form Design </t>
  </si>
  <si>
    <t xml:space="preserve">Approval Form Technial </t>
  </si>
  <si>
    <t xml:space="preserve">Approval Form Diamond </t>
  </si>
  <si>
    <t xml:space="preserve">Approval Form Manufacturing </t>
  </si>
  <si>
    <t>Sample Approval :</t>
  </si>
  <si>
    <t>SIZE MM</t>
  </si>
  <si>
    <t xml:space="preserve">Revised : </t>
  </si>
  <si>
    <t>Revised :</t>
  </si>
  <si>
    <t>KBS Owns all Copyrignts and other intellectual property rights in and this Drawing and Design and all Elements Contained therein</t>
  </si>
  <si>
    <t>Model Diamond checking/Pre-cutting</t>
  </si>
  <si>
    <t>Stamp Spot</t>
  </si>
  <si>
    <t>DIA Shape / Location</t>
  </si>
  <si>
    <t>HTM / MODEL WT</t>
  </si>
  <si>
    <t>Created :</t>
  </si>
  <si>
    <t>Total WT</t>
  </si>
  <si>
    <t>COM Code</t>
  </si>
  <si>
    <t>SIEVE SIZE</t>
  </si>
  <si>
    <t>NO</t>
  </si>
  <si>
    <t>Designed by</t>
  </si>
  <si>
    <t>Customer</t>
  </si>
  <si>
    <t>No</t>
  </si>
  <si>
    <t>PRODUCT DEVELOPMENT FORM - 2 [MODEL]</t>
  </si>
  <si>
    <t>SIEVES</t>
  </si>
  <si>
    <t>MM</t>
  </si>
  <si>
    <t>AVG</t>
  </si>
  <si>
    <t>WEIGHT</t>
  </si>
  <si>
    <t>SPREAD</t>
  </si>
  <si>
    <t>FROM</t>
  </si>
  <si>
    <t>TO</t>
  </si>
  <si>
    <t>000</t>
  </si>
  <si>
    <t>00</t>
  </si>
  <si>
    <t>3.50*2.90</t>
  </si>
  <si>
    <t>3.90*3.30</t>
  </si>
  <si>
    <t>4.20*3.00</t>
  </si>
  <si>
    <t>4.10*3.50</t>
  </si>
  <si>
    <t>4.50*3.40</t>
  </si>
  <si>
    <t>4.50*3.80</t>
  </si>
  <si>
    <t>5.00*3.40</t>
  </si>
  <si>
    <t>4.80*4.00</t>
  </si>
  <si>
    <t>5.20*3.80</t>
  </si>
  <si>
    <t>5.10*4.40</t>
  </si>
  <si>
    <t>5.50*4.60</t>
  </si>
  <si>
    <t>6.00*4.30</t>
  </si>
  <si>
    <t>6.00*5.00</t>
  </si>
  <si>
    <t>6.70*4.80</t>
  </si>
  <si>
    <t>5.40*3.00</t>
  </si>
  <si>
    <t>5.80*3.10</t>
  </si>
  <si>
    <t>6.30*3.50</t>
  </si>
  <si>
    <t>6.90*3.80</t>
  </si>
  <si>
    <t>7.30*4.00</t>
  </si>
  <si>
    <t>7.70*4.30</t>
  </si>
  <si>
    <t>8.50*4.70</t>
  </si>
  <si>
    <t>9.20*5.30</t>
  </si>
  <si>
    <t>4.60*3.30</t>
  </si>
  <si>
    <t>4.80*3.20</t>
  </si>
  <si>
    <t>4.70*3.50</t>
  </si>
  <si>
    <t>5.10*3.50</t>
  </si>
  <si>
    <t>5.30*3.90</t>
  </si>
  <si>
    <t>5.60*3.60</t>
  </si>
  <si>
    <t>5.50*4.20</t>
  </si>
  <si>
    <t>5.90*4.00</t>
  </si>
  <si>
    <t>6.10*4.30</t>
  </si>
  <si>
    <t>6.40*4.20</t>
  </si>
  <si>
    <t>6.30*4.60</t>
  </si>
  <si>
    <t>6.90*4.50</t>
  </si>
  <si>
    <t>6.80*5.10</t>
  </si>
  <si>
    <t>7.40*5.00</t>
  </si>
  <si>
    <t>7.60*5.70</t>
  </si>
  <si>
    <t>8.20*5.70</t>
  </si>
  <si>
    <t>3.60*4.00</t>
  </si>
  <si>
    <t>3.80*4.30</t>
  </si>
  <si>
    <t>4.10*4.60</t>
  </si>
  <si>
    <t>4.50*5.00</t>
  </si>
  <si>
    <t>4.80*5.20</t>
  </si>
  <si>
    <t>5.10*5.80</t>
  </si>
  <si>
    <t>5.50*6.20</t>
  </si>
  <si>
    <t>6.10*6.80</t>
  </si>
  <si>
    <t>CVBT ROUND CVD</t>
  </si>
  <si>
    <t>DIAMOND CODE</t>
  </si>
  <si>
    <t>CVWK ROUND CVD</t>
  </si>
  <si>
    <t>0000</t>
  </si>
  <si>
    <r>
      <rPr>
        <b/>
        <i/>
        <sz val="11"/>
        <color theme="1"/>
        <rFont val="Times New Roman"/>
        <family val="1"/>
      </rPr>
      <t xml:space="preserve">                                 </t>
    </r>
    <r>
      <rPr>
        <b/>
        <i/>
        <u/>
        <sz val="11"/>
        <color theme="1"/>
        <rFont val="Times New Roman"/>
        <family val="1"/>
      </rPr>
      <t xml:space="preserve">PRODUCT DEVELOPMENT FORM-2[MODEL] </t>
    </r>
    <r>
      <rPr>
        <b/>
        <i/>
        <sz val="11"/>
        <color theme="1"/>
        <rFont val="Times New Roman"/>
        <family val="1"/>
      </rPr>
      <t xml:space="preserve">  </t>
    </r>
    <r>
      <rPr>
        <b/>
        <i/>
        <sz val="11"/>
        <color theme="1"/>
        <rFont val="Lucida Handwriting"/>
        <family val="4"/>
      </rPr>
      <t xml:space="preserve">       </t>
    </r>
    <r>
      <rPr>
        <i/>
        <sz val="18"/>
        <color theme="1"/>
        <rFont val="Monotype Corsiva"/>
        <family val="4"/>
      </rPr>
      <t xml:space="preserve">KBS </t>
    </r>
    <r>
      <rPr>
        <i/>
        <sz val="16"/>
        <color theme="1"/>
        <rFont val="Monotype Corsiva"/>
        <family val="4"/>
      </rPr>
      <t>Creations</t>
    </r>
  </si>
  <si>
    <t>Original Sketch:</t>
  </si>
  <si>
    <t>References Images :</t>
  </si>
  <si>
    <t>Final Technical Sktech:</t>
  </si>
  <si>
    <t>Technical Approval:</t>
  </si>
  <si>
    <t>Revised:</t>
  </si>
  <si>
    <t xml:space="preserve">                                          Property Of KBS    Pg:-2</t>
  </si>
  <si>
    <t>RADIANT CVD</t>
  </si>
  <si>
    <t>EMERALD CVD</t>
  </si>
  <si>
    <t>MARQUISE CVD</t>
  </si>
  <si>
    <t>CUSHION CVD</t>
  </si>
  <si>
    <t>OVAL CVD</t>
  </si>
  <si>
    <t>PEARS CVD</t>
  </si>
  <si>
    <t>HEART CVD</t>
  </si>
  <si>
    <t>Sketch by</t>
  </si>
  <si>
    <t>Process</t>
  </si>
  <si>
    <t>PD Type</t>
  </si>
  <si>
    <t>Sub Customer</t>
  </si>
  <si>
    <t>Millgrain:</t>
  </si>
  <si>
    <t>2-Tone</t>
  </si>
  <si>
    <t>Sat Finish</t>
  </si>
  <si>
    <t>Col RHD</t>
  </si>
  <si>
    <t>Sales Ctg</t>
  </si>
  <si>
    <t>Min. Wt</t>
  </si>
  <si>
    <t>Charging Wt.</t>
  </si>
  <si>
    <t xml:space="preserve">DIAMOND MINIMUM WT -: 0.00 CT &amp; CHARGING WT -: 0.00 CT </t>
  </si>
  <si>
    <t xml:space="preserve">Customer Remark :- </t>
  </si>
  <si>
    <t>01.06.26</t>
  </si>
  <si>
    <t>SARATH</t>
  </si>
  <si>
    <t>SUKUMAR SAMANTA</t>
  </si>
  <si>
    <t>Project Name :-Ritique capsule collection</t>
  </si>
  <si>
    <t>A</t>
  </si>
  <si>
    <t>14KY</t>
  </si>
  <si>
    <r>
      <t>Description:-</t>
    </r>
    <r>
      <rPr>
        <b/>
        <sz val="12"/>
        <color rgb="FFFF0000"/>
        <rFont val="Calibri"/>
        <family val="2"/>
        <scheme val="minor"/>
      </rPr>
      <t>CPX DIRECT CASTING</t>
    </r>
  </si>
  <si>
    <t>ROBIN</t>
  </si>
  <si>
    <t>INDIRA</t>
  </si>
  <si>
    <t>DPF-0129</t>
  </si>
  <si>
    <t xml:space="preserve"> P16584</t>
  </si>
  <si>
    <t>LETTER CHARMS</t>
  </si>
  <si>
    <t>CALIBRATED ROUND/MINED</t>
  </si>
  <si>
    <t>0</t>
  </si>
  <si>
    <t>FRDMIP</t>
  </si>
  <si>
    <t>MINED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</si>
</sst>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0"/>
    <numFmt numFmtId="166" formatCode="0.000"/>
    <numFmt numFmtId="167" formatCode="_(* #,##0.0000_);_(* \(#,##0.0000\);_(* &quot;-&quot;??_);_(@_)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b/>
      <sz val="10"/>
      <color indexed="8"/>
      <name val="Verdana"/>
      <family val="2"/>
    </font>
    <font>
      <b/>
      <sz val="10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8"/>
      <name val="Arial"/>
      <family val="2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Verdana"/>
      <family val="2"/>
    </font>
    <font>
      <b/>
      <sz val="11"/>
      <name val="Calibri"/>
      <family val="2"/>
    </font>
    <font>
      <b/>
      <sz val="10"/>
      <color theme="1"/>
      <name val="Verdana"/>
      <family val="2"/>
    </font>
    <font>
      <b/>
      <i/>
      <u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i/>
      <sz val="11"/>
      <color theme="1"/>
      <name val="Lucida Handwriting"/>
      <family val="4"/>
    </font>
    <font>
      <i/>
      <sz val="18"/>
      <color theme="1"/>
      <name val="Monotype Corsiva"/>
      <family val="4"/>
    </font>
    <font>
      <i/>
      <sz val="16"/>
      <color theme="1"/>
      <name val="Monotype Corsiva"/>
      <family val="4"/>
    </font>
    <font>
      <b/>
      <sz val="12"/>
      <color theme="1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theme="3"/>
      <name val="Arial"/>
      <family val="2"/>
    </font>
    <font>
      <b/>
      <sz val="1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FF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</fills>
  <borders count="8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67">
    <xf numFmtId="0" fontId="0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4" fillId="3" borderId="0" applyNumberFormat="0" applyBorder="0" applyAlignment="0" applyProtection="0"/>
    <xf numFmtId="0" fontId="15" fillId="20" borderId="1" applyNumberFormat="0" applyAlignment="0" applyProtection="0"/>
    <xf numFmtId="0" fontId="16" fillId="21" borderId="2" applyNumberFormat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1" fillId="0" borderId="5" applyNumberFormat="0" applyFill="0" applyAlignment="0" applyProtection="0"/>
    <xf numFmtId="0" fontId="21" fillId="0" borderId="0" applyNumberFormat="0" applyFill="0" applyBorder="0" applyAlignment="0" applyProtection="0"/>
    <xf numFmtId="0" fontId="22" fillId="7" borderId="1" applyNumberFormat="0" applyAlignment="0" applyProtection="0"/>
    <xf numFmtId="0" fontId="23" fillId="0" borderId="6" applyNumberFormat="0" applyFill="0" applyAlignment="0" applyProtection="0"/>
    <xf numFmtId="0" fontId="24" fillId="22" borderId="0" applyNumberFormat="0" applyBorder="0" applyAlignment="0" applyProtection="0"/>
    <xf numFmtId="0" fontId="34" fillId="0" borderId="0"/>
    <xf numFmtId="0" fontId="10" fillId="23" borderId="7" applyNumberFormat="0" applyFont="0" applyAlignment="0" applyProtection="0"/>
    <xf numFmtId="0" fontId="25" fillId="20" borderId="8" applyNumberFormat="0" applyAlignment="0" applyProtection="0"/>
    <xf numFmtId="0" fontId="26" fillId="0" borderId="0" applyNumberFormat="0" applyFill="0" applyBorder="0" applyAlignment="0" applyProtection="0"/>
    <xf numFmtId="0" fontId="27" fillId="0" borderId="9" applyNumberFormat="0" applyFill="0" applyAlignment="0" applyProtection="0"/>
    <xf numFmtId="0" fontId="28" fillId="0" borderId="0" applyNumberFormat="0" applyFill="0" applyBorder="0" applyAlignment="0" applyProtection="0"/>
    <xf numFmtId="43" fontId="10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10" fillId="0" borderId="0"/>
    <xf numFmtId="0" fontId="10" fillId="0" borderId="0"/>
    <xf numFmtId="0" fontId="3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52" fillId="30" borderId="0" applyNumberFormat="0" applyBorder="0" applyAlignment="0" applyProtection="0"/>
  </cellStyleXfs>
  <cellXfs count="315">
    <xf numFmtId="0" fontId="0" fillId="0" borderId="0" xfId="0"/>
    <xf numFmtId="0" fontId="0" fillId="0" borderId="0" xfId="0" applyAlignment="1">
      <alignment horizontal="center" vertical="center"/>
    </xf>
    <xf numFmtId="2" fontId="33" fillId="27" borderId="44" xfId="0" applyNumberFormat="1" applyFont="1" applyFill="1" applyBorder="1" applyAlignment="1">
      <alignment horizontal="center" vertical="center" wrapText="1"/>
    </xf>
    <xf numFmtId="164" fontId="33" fillId="27" borderId="44" xfId="0" applyNumberFormat="1" applyFont="1" applyFill="1" applyBorder="1" applyAlignment="1">
      <alignment horizontal="center" vertical="center" wrapText="1"/>
    </xf>
    <xf numFmtId="164" fontId="33" fillId="0" borderId="44" xfId="0" applyNumberFormat="1" applyFont="1" applyBorder="1" applyAlignment="1">
      <alignment horizontal="center" vertical="center" wrapText="1"/>
    </xf>
    <xf numFmtId="2" fontId="33" fillId="0" borderId="44" xfId="0" applyNumberFormat="1" applyFont="1" applyBorder="1" applyAlignment="1">
      <alignment horizontal="center" vertical="center" wrapText="1"/>
    </xf>
    <xf numFmtId="2" fontId="32" fillId="0" borderId="44" xfId="0" applyNumberFormat="1" applyFont="1" applyBorder="1" applyAlignment="1">
      <alignment horizontal="center" vertical="center" wrapText="1"/>
    </xf>
    <xf numFmtId="2" fontId="31" fillId="0" borderId="44" xfId="0" applyNumberFormat="1" applyFont="1" applyBorder="1" applyAlignment="1">
      <alignment horizontal="center" vertical="center" wrapText="1"/>
    </xf>
    <xf numFmtId="166" fontId="33" fillId="0" borderId="44" xfId="0" applyNumberFormat="1" applyFont="1" applyBorder="1" applyAlignment="1">
      <alignment horizontal="center" vertical="center" wrapText="1"/>
    </xf>
    <xf numFmtId="167" fontId="39" fillId="26" borderId="44" xfId="43" applyNumberFormat="1" applyFont="1" applyFill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/>
    </xf>
    <xf numFmtId="2" fontId="31" fillId="27" borderId="44" xfId="0" applyNumberFormat="1" applyFont="1" applyFill="1" applyBorder="1" applyAlignment="1">
      <alignment horizontal="center" vertical="center" wrapText="1"/>
    </xf>
    <xf numFmtId="165" fontId="33" fillId="27" borderId="44" xfId="0" applyNumberFormat="1" applyFont="1" applyFill="1" applyBorder="1" applyAlignment="1">
      <alignment horizontal="center" vertical="center" wrapText="1"/>
    </xf>
    <xf numFmtId="0" fontId="0" fillId="0" borderId="44" xfId="0" applyBorder="1"/>
    <xf numFmtId="2" fontId="31" fillId="27" borderId="44" xfId="0" quotePrefix="1" applyNumberFormat="1" applyFont="1" applyFill="1" applyBorder="1" applyAlignment="1">
      <alignment horizontal="center" vertical="center" wrapText="1"/>
    </xf>
    <xf numFmtId="2" fontId="30" fillId="0" borderId="44" xfId="0" quotePrefix="1" applyNumberFormat="1" applyFont="1" applyBorder="1" applyAlignment="1">
      <alignment horizontal="center" vertical="center" wrapText="1"/>
    </xf>
    <xf numFmtId="164" fontId="32" fillId="0" borderId="44" xfId="0" quotePrefix="1" applyNumberFormat="1" applyFont="1" applyBorder="1" applyAlignment="1">
      <alignment horizontal="center" vertical="center" wrapText="1"/>
    </xf>
    <xf numFmtId="165" fontId="38" fillId="0" borderId="44" xfId="0" applyNumberFormat="1" applyFont="1" applyBorder="1" applyAlignment="1">
      <alignment horizontal="center" vertical="center" wrapText="1"/>
    </xf>
    <xf numFmtId="2" fontId="31" fillId="0" borderId="44" xfId="0" quotePrefix="1" applyNumberFormat="1" applyFont="1" applyBorder="1" applyAlignment="1">
      <alignment horizontal="center" vertical="center" wrapText="1"/>
    </xf>
    <xf numFmtId="164" fontId="33" fillId="0" borderId="44" xfId="0" quotePrefix="1" applyNumberFormat="1" applyFont="1" applyBorder="1" applyAlignment="1">
      <alignment horizontal="center" vertical="center" wrapText="1"/>
    </xf>
    <xf numFmtId="165" fontId="33" fillId="0" borderId="44" xfId="0" applyNumberFormat="1" applyFont="1" applyBorder="1" applyAlignment="1">
      <alignment horizontal="center" vertical="center" wrapText="1"/>
    </xf>
    <xf numFmtId="2" fontId="30" fillId="0" borderId="44" xfId="0" applyNumberFormat="1" applyFont="1" applyBorder="1" applyAlignment="1">
      <alignment horizontal="center" vertical="center" wrapText="1"/>
    </xf>
    <xf numFmtId="164" fontId="32" fillId="0" borderId="44" xfId="0" applyNumberFormat="1" applyFont="1" applyBorder="1" applyAlignment="1">
      <alignment horizontal="center" vertical="center" wrapText="1"/>
    </xf>
    <xf numFmtId="166" fontId="38" fillId="0" borderId="44" xfId="0" applyNumberFormat="1" applyFont="1" applyBorder="1" applyAlignment="1">
      <alignment horizontal="center" vertical="center" wrapText="1"/>
    </xf>
    <xf numFmtId="166" fontId="33" fillId="27" borderId="44" xfId="0" applyNumberFormat="1" applyFont="1" applyFill="1" applyBorder="1" applyAlignment="1">
      <alignment horizontal="center" vertical="center" wrapText="1"/>
    </xf>
    <xf numFmtId="0" fontId="38" fillId="0" borderId="44" xfId="0" applyFont="1" applyBorder="1" applyAlignment="1">
      <alignment horizontal="center" vertical="center" wrapText="1"/>
    </xf>
    <xf numFmtId="0" fontId="40" fillId="0" borderId="44" xfId="0" applyFont="1" applyBorder="1" applyAlignment="1">
      <alignment horizontal="center" vertical="center" wrapText="1"/>
    </xf>
    <xf numFmtId="0" fontId="39" fillId="26" borderId="44" xfId="0" applyFont="1" applyFill="1" applyBorder="1" applyAlignment="1">
      <alignment horizontal="center" vertical="center" wrapText="1"/>
    </xf>
    <xf numFmtId="0" fontId="33" fillId="0" borderId="44" xfId="0" quotePrefix="1" applyFont="1" applyBorder="1" applyAlignment="1">
      <alignment horizontal="center" vertical="center" wrapText="1"/>
    </xf>
    <xf numFmtId="164" fontId="33" fillId="28" borderId="44" xfId="0" applyNumberFormat="1" applyFont="1" applyFill="1" applyBorder="1" applyAlignment="1">
      <alignment horizontal="center" vertical="center" wrapText="1"/>
    </xf>
    <xf numFmtId="2" fontId="32" fillId="28" borderId="44" xfId="0" applyNumberFormat="1" applyFont="1" applyFill="1" applyBorder="1" applyAlignment="1">
      <alignment horizontal="center" vertical="center" wrapText="1"/>
    </xf>
    <xf numFmtId="2" fontId="33" fillId="28" borderId="44" xfId="0" applyNumberFormat="1" applyFont="1" applyFill="1" applyBorder="1" applyAlignment="1">
      <alignment horizontal="center" vertical="center" wrapText="1"/>
    </xf>
    <xf numFmtId="2" fontId="30" fillId="28" borderId="44" xfId="0" applyNumberFormat="1" applyFont="1" applyFill="1" applyBorder="1" applyAlignment="1">
      <alignment horizontal="center" vertical="center" wrapText="1"/>
    </xf>
    <xf numFmtId="2" fontId="30" fillId="28" borderId="44" xfId="0" quotePrefix="1" applyNumberFormat="1" applyFont="1" applyFill="1" applyBorder="1" applyAlignment="1">
      <alignment horizontal="center" vertical="center" wrapText="1"/>
    </xf>
    <xf numFmtId="0" fontId="32" fillId="28" borderId="44" xfId="0" quotePrefix="1" applyFont="1" applyFill="1" applyBorder="1" applyAlignment="1">
      <alignment horizontal="center" vertical="center" wrapText="1"/>
    </xf>
    <xf numFmtId="0" fontId="33" fillId="28" borderId="44" xfId="0" quotePrefix="1" applyFont="1" applyFill="1" applyBorder="1" applyAlignment="1">
      <alignment horizontal="center" vertical="center" wrapText="1"/>
    </xf>
    <xf numFmtId="165" fontId="32" fillId="28" borderId="44" xfId="0" applyNumberFormat="1" applyFont="1" applyFill="1" applyBorder="1" applyAlignment="1">
      <alignment horizontal="center" vertical="center" wrapText="1"/>
    </xf>
    <xf numFmtId="0" fontId="32" fillId="0" borderId="44" xfId="0" quotePrefix="1" applyFont="1" applyBorder="1" applyAlignment="1">
      <alignment horizontal="center" vertical="center" wrapText="1"/>
    </xf>
    <xf numFmtId="0" fontId="32" fillId="0" borderId="44" xfId="0" applyFont="1" applyBorder="1" applyAlignment="1">
      <alignment horizontal="center" vertical="center" wrapText="1"/>
    </xf>
    <xf numFmtId="164" fontId="32" fillId="28" borderId="44" xfId="0" quotePrefix="1" applyNumberFormat="1" applyFont="1" applyFill="1" applyBorder="1" applyAlignment="1">
      <alignment horizontal="center" vertical="center" wrapText="1"/>
    </xf>
    <xf numFmtId="0" fontId="32" fillId="28" borderId="44" xfId="0" applyFont="1" applyFill="1" applyBorder="1" applyAlignment="1">
      <alignment horizontal="center" vertical="center" wrapText="1"/>
    </xf>
    <xf numFmtId="164" fontId="32" fillId="28" borderId="44" xfId="0" applyNumberFormat="1" applyFont="1" applyFill="1" applyBorder="1" applyAlignment="1">
      <alignment horizontal="center" vertical="center" wrapText="1"/>
    </xf>
    <xf numFmtId="2" fontId="31" fillId="28" borderId="44" xfId="0" applyNumberFormat="1" applyFont="1" applyFill="1" applyBorder="1" applyAlignment="1">
      <alignment horizontal="center" vertical="center" wrapText="1"/>
    </xf>
    <xf numFmtId="165" fontId="33" fillId="28" borderId="44" xfId="0" applyNumberFormat="1" applyFont="1" applyFill="1" applyBorder="1" applyAlignment="1">
      <alignment horizontal="center" vertical="center" wrapText="1"/>
    </xf>
    <xf numFmtId="166" fontId="33" fillId="28" borderId="44" xfId="0" applyNumberFormat="1" applyFont="1" applyFill="1" applyBorder="1" applyAlignment="1">
      <alignment horizontal="center" vertical="center" wrapText="1"/>
    </xf>
    <xf numFmtId="0" fontId="9" fillId="0" borderId="0" xfId="44"/>
    <xf numFmtId="0" fontId="9" fillId="0" borderId="23" xfId="44" applyBorder="1"/>
    <xf numFmtId="0" fontId="9" fillId="0" borderId="24" xfId="44" applyBorder="1"/>
    <xf numFmtId="0" fontId="9" fillId="0" borderId="25" xfId="44" applyBorder="1"/>
    <xf numFmtId="0" fontId="9" fillId="0" borderId="17" xfId="44" applyBorder="1"/>
    <xf numFmtId="0" fontId="9" fillId="0" borderId="61" xfId="44" applyBorder="1"/>
    <xf numFmtId="0" fontId="9" fillId="0" borderId="19" xfId="44" applyBorder="1"/>
    <xf numFmtId="0" fontId="9" fillId="0" borderId="59" xfId="44" applyBorder="1"/>
    <xf numFmtId="0" fontId="9" fillId="0" borderId="40" xfId="44" applyBorder="1"/>
    <xf numFmtId="0" fontId="9" fillId="0" borderId="35" xfId="44" applyBorder="1"/>
    <xf numFmtId="0" fontId="9" fillId="0" borderId="22" xfId="44" applyBorder="1"/>
    <xf numFmtId="0" fontId="9" fillId="0" borderId="36" xfId="44" applyBorder="1"/>
    <xf numFmtId="0" fontId="9" fillId="24" borderId="17" xfId="44" applyFill="1" applyBorder="1"/>
    <xf numFmtId="0" fontId="9" fillId="24" borderId="0" xfId="44" applyFill="1"/>
    <xf numFmtId="0" fontId="9" fillId="24" borderId="61" xfId="44" applyFill="1" applyBorder="1"/>
    <xf numFmtId="0" fontId="9" fillId="24" borderId="21" xfId="44" applyFill="1" applyBorder="1" applyAlignment="1">
      <alignment horizontal="center"/>
    </xf>
    <xf numFmtId="0" fontId="9" fillId="24" borderId="17" xfId="44" applyFill="1" applyBorder="1" applyAlignment="1">
      <alignment horizontal="center"/>
    </xf>
    <xf numFmtId="0" fontId="9" fillId="24" borderId="0" xfId="44" applyFill="1" applyAlignment="1">
      <alignment horizontal="center"/>
    </xf>
    <xf numFmtId="0" fontId="0" fillId="0" borderId="44" xfId="0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166" fontId="32" fillId="0" borderId="44" xfId="0" applyNumberFormat="1" applyFont="1" applyBorder="1" applyAlignment="1">
      <alignment horizontal="center" vertical="center" wrapText="1"/>
    </xf>
    <xf numFmtId="2" fontId="40" fillId="0" borderId="44" xfId="0" applyNumberFormat="1" applyFont="1" applyBorder="1" applyAlignment="1">
      <alignment horizontal="center" vertical="center" wrapText="1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center"/>
    </xf>
    <xf numFmtId="0" fontId="40" fillId="0" borderId="44" xfId="0" applyFont="1" applyBorder="1" applyAlignment="1">
      <alignment horizontal="center" wrapText="1"/>
    </xf>
    <xf numFmtId="2" fontId="33" fillId="0" borderId="44" xfId="0" applyNumberFormat="1" applyFont="1" applyBorder="1" applyAlignment="1">
      <alignment horizontal="center" wrapText="1"/>
    </xf>
    <xf numFmtId="2" fontId="32" fillId="0" borderId="44" xfId="0" applyNumberFormat="1" applyFont="1" applyBorder="1" applyAlignment="1">
      <alignment horizontal="center" wrapText="1"/>
    </xf>
    <xf numFmtId="0" fontId="31" fillId="0" borderId="44" xfId="0" applyFont="1" applyBorder="1" applyAlignment="1">
      <alignment horizontal="center" wrapText="1"/>
    </xf>
    <xf numFmtId="166" fontId="33" fillId="0" borderId="44" xfId="0" applyNumberFormat="1" applyFont="1" applyBorder="1" applyAlignment="1">
      <alignment horizontal="center" wrapText="1"/>
    </xf>
    <xf numFmtId="166" fontId="32" fillId="0" borderId="44" xfId="0" applyNumberFormat="1" applyFont="1" applyBorder="1" applyAlignment="1">
      <alignment horizontal="center" wrapText="1"/>
    </xf>
    <xf numFmtId="2" fontId="40" fillId="0" borderId="44" xfId="0" applyNumberFormat="1" applyFont="1" applyBorder="1" applyAlignment="1">
      <alignment horizontal="center" wrapText="1"/>
    </xf>
    <xf numFmtId="2" fontId="31" fillId="0" borderId="44" xfId="0" applyNumberFormat="1" applyFont="1" applyBorder="1" applyAlignment="1">
      <alignment horizontal="center" wrapText="1"/>
    </xf>
    <xf numFmtId="2" fontId="30" fillId="0" borderId="44" xfId="0" applyNumberFormat="1" applyFont="1" applyBorder="1" applyAlignment="1">
      <alignment horizontal="center" wrapText="1"/>
    </xf>
    <xf numFmtId="0" fontId="29" fillId="29" borderId="44" xfId="0" applyFont="1" applyFill="1" applyBorder="1" applyAlignment="1">
      <alignment horizontal="center" vertical="center"/>
    </xf>
    <xf numFmtId="2" fontId="31" fillId="29" borderId="44" xfId="0" applyNumberFormat="1" applyFont="1" applyFill="1" applyBorder="1" applyAlignment="1">
      <alignment horizontal="center" vertical="center" wrapText="1"/>
    </xf>
    <xf numFmtId="0" fontId="33" fillId="29" borderId="44" xfId="0" quotePrefix="1" applyFont="1" applyFill="1" applyBorder="1" applyAlignment="1">
      <alignment horizontal="center" vertical="center" wrapText="1"/>
    </xf>
    <xf numFmtId="2" fontId="33" fillId="29" borderId="44" xfId="0" applyNumberFormat="1" applyFont="1" applyFill="1" applyBorder="1" applyAlignment="1">
      <alignment horizontal="center" vertical="center" wrapText="1"/>
    </xf>
    <xf numFmtId="165" fontId="33" fillId="29" borderId="44" xfId="0" applyNumberFormat="1" applyFont="1" applyFill="1" applyBorder="1" applyAlignment="1">
      <alignment horizontal="center" vertical="center" wrapText="1"/>
    </xf>
    <xf numFmtId="164" fontId="33" fillId="29" borderId="44" xfId="0" applyNumberFormat="1" applyFont="1" applyFill="1" applyBorder="1" applyAlignment="1">
      <alignment horizontal="center" vertical="center" wrapText="1"/>
    </xf>
    <xf numFmtId="2" fontId="31" fillId="29" borderId="44" xfId="0" quotePrefix="1" applyNumberFormat="1" applyFont="1" applyFill="1" applyBorder="1" applyAlignment="1">
      <alignment horizontal="center" vertical="center" wrapText="1"/>
    </xf>
    <xf numFmtId="164" fontId="33" fillId="29" borderId="44" xfId="0" quotePrefix="1" applyNumberFormat="1" applyFont="1" applyFill="1" applyBorder="1" applyAlignment="1">
      <alignment horizontal="center" vertical="center" wrapText="1"/>
    </xf>
    <xf numFmtId="2" fontId="30" fillId="29" borderId="44" xfId="0" quotePrefix="1" applyNumberFormat="1" applyFont="1" applyFill="1" applyBorder="1" applyAlignment="1">
      <alignment horizontal="center" vertical="center" wrapText="1"/>
    </xf>
    <xf numFmtId="164" fontId="32" fillId="29" borderId="44" xfId="0" quotePrefix="1" applyNumberFormat="1" applyFont="1" applyFill="1" applyBorder="1" applyAlignment="1">
      <alignment horizontal="center" vertical="center" wrapText="1"/>
    </xf>
    <xf numFmtId="2" fontId="32" fillId="29" borderId="44" xfId="0" applyNumberFormat="1" applyFont="1" applyFill="1" applyBorder="1" applyAlignment="1">
      <alignment horizontal="center" vertical="center" wrapText="1"/>
    </xf>
    <xf numFmtId="165" fontId="38" fillId="29" borderId="44" xfId="0" applyNumberFormat="1" applyFont="1" applyFill="1" applyBorder="1" applyAlignment="1">
      <alignment horizontal="center" vertical="center" wrapText="1"/>
    </xf>
    <xf numFmtId="0" fontId="29" fillId="2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 vertical="center"/>
    </xf>
    <xf numFmtId="0" fontId="11" fillId="0" borderId="3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1" fillId="0" borderId="29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top"/>
    </xf>
    <xf numFmtId="0" fontId="11" fillId="0" borderId="66" xfId="0" applyFont="1" applyBorder="1" applyAlignment="1">
      <alignment horizontal="left" vertical="top"/>
    </xf>
    <xf numFmtId="0" fontId="11" fillId="0" borderId="11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0" fontId="11" fillId="0" borderId="34" xfId="0" applyFont="1" applyBorder="1" applyAlignment="1">
      <alignment horizontal="left" vertical="center"/>
    </xf>
    <xf numFmtId="0" fontId="11" fillId="0" borderId="3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35" fillId="0" borderId="29" xfId="0" applyFont="1" applyBorder="1" applyAlignment="1">
      <alignment horizontal="left" vertical="center"/>
    </xf>
    <xf numFmtId="0" fontId="35" fillId="0" borderId="5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0" fontId="35" fillId="0" borderId="31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31" xfId="0" applyFont="1" applyBorder="1" applyAlignment="1">
      <alignment vertical="center"/>
    </xf>
    <xf numFmtId="0" fontId="35" fillId="0" borderId="56" xfId="0" applyFont="1" applyBorder="1" applyAlignment="1">
      <alignment vertical="center"/>
    </xf>
    <xf numFmtId="0" fontId="35" fillId="0" borderId="15" xfId="0" applyFont="1" applyBorder="1" applyAlignment="1">
      <alignment vertical="center"/>
    </xf>
    <xf numFmtId="0" fontId="35" fillId="0" borderId="58" xfId="0" applyFont="1" applyBorder="1" applyAlignment="1">
      <alignment vertical="center"/>
    </xf>
    <xf numFmtId="0" fontId="35" fillId="24" borderId="65" xfId="0" applyFont="1" applyFill="1" applyBorder="1" applyAlignment="1">
      <alignment horizontal="left" vertical="center"/>
    </xf>
    <xf numFmtId="0" fontId="35" fillId="24" borderId="72" xfId="0" applyFont="1" applyFill="1" applyBorder="1" applyAlignment="1">
      <alignment horizontal="left" vertical="center"/>
    </xf>
    <xf numFmtId="0" fontId="35" fillId="0" borderId="55" xfId="0" applyFont="1" applyBorder="1" applyAlignment="1">
      <alignment horizontal="left" vertical="center"/>
    </xf>
    <xf numFmtId="0" fontId="35" fillId="0" borderId="13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2" fontId="46" fillId="0" borderId="44" xfId="0" applyNumberFormat="1" applyFont="1" applyBorder="1" applyAlignment="1">
      <alignment horizontal="center" vertical="center" wrapText="1"/>
    </xf>
    <xf numFmtId="0" fontId="51" fillId="0" borderId="58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62" xfId="0" applyFont="1" applyBorder="1" applyAlignment="1">
      <alignment horizontal="left" vertical="center"/>
    </xf>
    <xf numFmtId="0" fontId="11" fillId="0" borderId="20" xfId="0" applyFont="1" applyBorder="1" applyAlignment="1">
      <alignment horizontal="center" vertical="center"/>
    </xf>
    <xf numFmtId="164" fontId="35" fillId="0" borderId="44" xfId="0" quotePrefix="1" applyNumberFormat="1" applyFont="1" applyBorder="1" applyAlignment="1">
      <alignment horizontal="center" vertical="center" wrapText="1"/>
    </xf>
    <xf numFmtId="164" fontId="35" fillId="0" borderId="44" xfId="0" applyNumberFormat="1" applyFont="1" applyBorder="1" applyAlignment="1">
      <alignment horizontal="center" vertical="center" wrapText="1"/>
    </xf>
    <xf numFmtId="165" fontId="53" fillId="0" borderId="44" xfId="0" applyNumberFormat="1" applyFont="1" applyBorder="1" applyAlignment="1">
      <alignment horizontal="center" vertical="center" wrapText="1"/>
    </xf>
    <xf numFmtId="2" fontId="46" fillId="0" borderId="44" xfId="0" quotePrefix="1" applyNumberFormat="1" applyFont="1" applyBorder="1" applyAlignment="1">
      <alignment horizontal="center" vertical="center" wrapText="1"/>
    </xf>
    <xf numFmtId="166" fontId="46" fillId="0" borderId="44" xfId="0" applyNumberFormat="1" applyFont="1" applyBorder="1" applyAlignment="1">
      <alignment horizontal="center" vertical="center" wrapText="1"/>
    </xf>
    <xf numFmtId="0" fontId="46" fillId="0" borderId="60" xfId="0" applyFont="1" applyBorder="1" applyAlignment="1">
      <alignment horizontal="center" vertical="center" wrapText="1"/>
    </xf>
    <xf numFmtId="166" fontId="35" fillId="0" borderId="20" xfId="0" applyNumberFormat="1" applyFont="1" applyBorder="1" applyAlignment="1">
      <alignment horizontal="center" vertical="center" wrapText="1"/>
    </xf>
    <xf numFmtId="0" fontId="36" fillId="0" borderId="20" xfId="0" applyFont="1" applyBorder="1" applyAlignment="1">
      <alignment horizontal="center" vertical="center" wrapText="1"/>
    </xf>
    <xf numFmtId="0" fontId="36" fillId="0" borderId="19" xfId="0" applyFont="1" applyBorder="1" applyAlignment="1">
      <alignment horizontal="center" vertical="center" wrapText="1"/>
    </xf>
    <xf numFmtId="0" fontId="35" fillId="0" borderId="44" xfId="0" applyFont="1" applyBorder="1" applyAlignment="1">
      <alignment horizontal="center" vertical="center"/>
    </xf>
    <xf numFmtId="0" fontId="35" fillId="0" borderId="44" xfId="0" applyFont="1" applyBorder="1" applyAlignment="1">
      <alignment horizontal="center" vertical="center" wrapText="1"/>
    </xf>
    <xf numFmtId="0" fontId="46" fillId="0" borderId="44" xfId="0" applyFont="1" applyBorder="1" applyAlignment="1">
      <alignment horizontal="center" vertical="center" wrapText="1"/>
    </xf>
    <xf numFmtId="0" fontId="46" fillId="25" borderId="44" xfId="0" applyFont="1" applyFill="1" applyBorder="1" applyAlignment="1">
      <alignment horizontal="center" vertical="center"/>
    </xf>
    <xf numFmtId="0" fontId="46" fillId="25" borderId="44" xfId="0" applyFont="1" applyFill="1" applyBorder="1" applyAlignment="1">
      <alignment horizontal="center" vertical="center" wrapText="1"/>
    </xf>
    <xf numFmtId="2" fontId="35" fillId="0" borderId="44" xfId="0" applyNumberFormat="1" applyFont="1" applyBorder="1" applyAlignment="1">
      <alignment horizontal="center" vertical="center"/>
    </xf>
    <xf numFmtId="164" fontId="46" fillId="0" borderId="44" xfId="0" applyNumberFormat="1" applyFont="1" applyBorder="1" applyAlignment="1">
      <alignment horizontal="center" vertical="center" wrapText="1"/>
    </xf>
    <xf numFmtId="165" fontId="46" fillId="0" borderId="44" xfId="0" applyNumberFormat="1" applyFont="1" applyBorder="1" applyAlignment="1">
      <alignment horizontal="center" vertical="center" wrapText="1"/>
    </xf>
    <xf numFmtId="0" fontId="46" fillId="0" borderId="44" xfId="0" applyFont="1" applyBorder="1" applyAlignment="1">
      <alignment horizontal="left" vertical="center" wrapText="1"/>
    </xf>
    <xf numFmtId="0" fontId="46" fillId="0" borderId="44" xfId="64" applyFont="1" applyBorder="1" applyAlignment="1">
      <alignment wrapText="1"/>
    </xf>
    <xf numFmtId="164" fontId="46" fillId="0" borderId="44" xfId="0" quotePrefix="1" applyNumberFormat="1" applyFont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 wrapText="1"/>
    </xf>
    <xf numFmtId="2" fontId="46" fillId="0" borderId="34" xfId="0" quotePrefix="1" applyNumberFormat="1" applyFont="1" applyBorder="1" applyAlignment="1">
      <alignment horizontal="center" vertical="center" wrapText="1"/>
    </xf>
    <xf numFmtId="0" fontId="46" fillId="0" borderId="34" xfId="0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25" borderId="56" xfId="0" applyFont="1" applyFill="1" applyBorder="1" applyAlignment="1">
      <alignment horizontal="center" vertical="center"/>
    </xf>
    <xf numFmtId="0" fontId="46" fillId="25" borderId="31" xfId="0" applyFont="1" applyFill="1" applyBorder="1" applyAlignment="1">
      <alignment horizontal="center" vertical="center" wrapText="1"/>
    </xf>
    <xf numFmtId="0" fontId="35" fillId="0" borderId="56" xfId="0" applyFont="1" applyBorder="1" applyAlignment="1">
      <alignment horizontal="center" vertical="center"/>
    </xf>
    <xf numFmtId="2" fontId="35" fillId="0" borderId="56" xfId="0" applyNumberFormat="1" applyFont="1" applyBorder="1" applyAlignment="1">
      <alignment horizontal="center" vertical="center"/>
    </xf>
    <xf numFmtId="166" fontId="46" fillId="0" borderId="56" xfId="0" applyNumberFormat="1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30" xfId="0" applyFont="1" applyBorder="1" applyAlignment="1">
      <alignment vertical="center" wrapText="1"/>
    </xf>
    <xf numFmtId="166" fontId="46" fillId="0" borderId="30" xfId="0" applyNumberFormat="1" applyFont="1" applyBorder="1" applyAlignment="1">
      <alignment horizontal="center" vertical="center" wrapText="1"/>
    </xf>
    <xf numFmtId="0" fontId="35" fillId="0" borderId="55" xfId="0" applyFont="1" applyBorder="1" applyAlignment="1">
      <alignment vertical="center" wrapText="1"/>
    </xf>
    <xf numFmtId="0" fontId="11" fillId="0" borderId="25" xfId="0" applyFont="1" applyBorder="1" applyAlignment="1">
      <alignment horizontal="left" vertical="center"/>
    </xf>
    <xf numFmtId="1" fontId="35" fillId="0" borderId="19" xfId="0" applyNumberFormat="1" applyFont="1" applyBorder="1" applyAlignment="1">
      <alignment horizontal="center" vertical="center"/>
    </xf>
    <xf numFmtId="2" fontId="35" fillId="0" borderId="20" xfId="0" applyNumberFormat="1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11" fillId="0" borderId="79" xfId="0" applyFont="1" applyBorder="1" applyAlignment="1">
      <alignment horizontal="left" vertical="center"/>
    </xf>
    <xf numFmtId="0" fontId="11" fillId="0" borderId="59" xfId="0" applyFont="1" applyBorder="1" applyAlignment="1">
      <alignment horizontal="left" vertical="center"/>
    </xf>
    <xf numFmtId="0" fontId="35" fillId="0" borderId="44" xfId="0" applyFont="1" applyBorder="1" applyAlignment="1" applyProtection="1">
      <alignment horizontal="center" vertical="center"/>
      <protection locked="0"/>
    </xf>
    <xf numFmtId="1" fontId="35" fillId="0" borderId="44" xfId="0" applyNumberFormat="1" applyFont="1" applyBorder="1" applyAlignment="1" applyProtection="1">
      <alignment horizontal="center" vertical="center"/>
      <protection locked="0"/>
    </xf>
    <xf numFmtId="0" fontId="11" fillId="0" borderId="44" xfId="0" applyFont="1" applyBorder="1" applyAlignment="1">
      <alignment horizontal="left" vertical="center"/>
    </xf>
    <xf numFmtId="0" fontId="35" fillId="0" borderId="33" xfId="0" applyFont="1" applyBorder="1" applyAlignment="1" applyProtection="1">
      <alignment horizontal="center" vertical="center"/>
      <protection locked="0"/>
    </xf>
    <xf numFmtId="0" fontId="35" fillId="0" borderId="34" xfId="0" applyFont="1" applyBorder="1" applyAlignment="1" applyProtection="1">
      <alignment horizontal="center" vertical="center"/>
      <protection locked="0"/>
    </xf>
    <xf numFmtId="1" fontId="35" fillId="0" borderId="34" xfId="0" applyNumberFormat="1" applyFont="1" applyBorder="1" applyAlignment="1" applyProtection="1">
      <alignment horizontal="center" vertical="center"/>
      <protection locked="0"/>
    </xf>
    <xf numFmtId="2" fontId="35" fillId="0" borderId="34" xfId="0" applyNumberFormat="1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11" fillId="0" borderId="77" xfId="0" applyFont="1" applyBorder="1" applyAlignment="1">
      <alignment horizontal="center" vertical="center"/>
    </xf>
    <xf numFmtId="0" fontId="35" fillId="0" borderId="31" xfId="0" applyFont="1" applyBorder="1" applyAlignment="1" applyProtection="1">
      <alignment horizontal="center" vertical="center"/>
      <protection locked="0"/>
    </xf>
    <xf numFmtId="0" fontId="11" fillId="0" borderId="56" xfId="0" applyFont="1" applyBorder="1" applyAlignment="1">
      <alignment horizontal="center" vertical="center"/>
    </xf>
    <xf numFmtId="0" fontId="35" fillId="0" borderId="29" xfId="0" applyFont="1" applyBorder="1" applyAlignment="1">
      <alignment horizontal="right" vertical="center"/>
    </xf>
    <xf numFmtId="0" fontId="35" fillId="0" borderId="30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1" fillId="0" borderId="78" xfId="0" applyFont="1" applyBorder="1" applyAlignment="1">
      <alignment horizontal="center" vertical="center"/>
    </xf>
    <xf numFmtId="0" fontId="11" fillId="0" borderId="63" xfId="0" applyFont="1" applyBorder="1" applyAlignment="1">
      <alignment horizontal="left" vertical="center"/>
    </xf>
    <xf numFmtId="0" fontId="51" fillId="0" borderId="64" xfId="0" applyFont="1" applyBorder="1" applyAlignment="1">
      <alignment horizontal="left" vertical="center"/>
    </xf>
    <xf numFmtId="0" fontId="35" fillId="0" borderId="55" xfId="0" applyFont="1" applyBorder="1" applyAlignment="1">
      <alignment horizontal="center" vertical="center"/>
    </xf>
    <xf numFmtId="0" fontId="50" fillId="0" borderId="12" xfId="0" applyFont="1" applyBorder="1" applyAlignment="1">
      <alignment horizontal="center" vertical="center"/>
    </xf>
    <xf numFmtId="0" fontId="46" fillId="0" borderId="44" xfId="0" applyFont="1" applyBorder="1" applyAlignment="1">
      <alignment horizontal="center" vertical="center"/>
    </xf>
    <xf numFmtId="0" fontId="35" fillId="0" borderId="42" xfId="0" applyFont="1" applyBorder="1" applyAlignment="1">
      <alignment horizontal="center" vertical="center" wrapText="1"/>
    </xf>
    <xf numFmtId="0" fontId="35" fillId="0" borderId="44" xfId="0" applyFont="1" applyBorder="1" applyAlignment="1" applyProtection="1">
      <alignment horizontal="center" vertical="center" wrapText="1"/>
      <protection locked="0"/>
    </xf>
    <xf numFmtId="0" fontId="54" fillId="0" borderId="10" xfId="0" applyFont="1" applyBorder="1" applyAlignment="1">
      <alignment horizontal="center" vertical="center" wrapText="1"/>
    </xf>
    <xf numFmtId="2" fontId="11" fillId="0" borderId="31" xfId="0" quotePrefix="1" applyNumberFormat="1" applyFont="1" applyBorder="1" applyAlignment="1">
      <alignment horizontal="center" vertical="center" wrapText="1"/>
    </xf>
    <xf numFmtId="2" fontId="11" fillId="0" borderId="44" xfId="0" quotePrefix="1" applyNumberFormat="1" applyFont="1" applyBorder="1" applyAlignment="1">
      <alignment horizontal="center" vertical="center" wrapText="1"/>
    </xf>
    <xf numFmtId="0" fontId="37" fillId="24" borderId="37" xfId="0" applyFont="1" applyFill="1" applyBorder="1" applyAlignment="1">
      <alignment horizontal="left" vertical="center" wrapText="1"/>
    </xf>
    <xf numFmtId="0" fontId="37" fillId="24" borderId="38" xfId="0" applyFont="1" applyFill="1" applyBorder="1" applyAlignment="1">
      <alignment horizontal="left" vertical="center" wrapText="1"/>
    </xf>
    <xf numFmtId="0" fontId="37" fillId="24" borderId="39" xfId="0" applyFont="1" applyFill="1" applyBorder="1" applyAlignment="1">
      <alignment horizontal="left" vertical="center" wrapText="1"/>
    </xf>
    <xf numFmtId="14" fontId="46" fillId="24" borderId="37" xfId="0" applyNumberFormat="1" applyFont="1" applyFill="1" applyBorder="1" applyAlignment="1">
      <alignment horizontal="center" vertical="center"/>
    </xf>
    <xf numFmtId="14" fontId="46" fillId="24" borderId="54" xfId="0" applyNumberFormat="1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69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6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7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35" fillId="0" borderId="33" xfId="0" applyFont="1" applyBorder="1" applyAlignment="1">
      <alignment horizontal="left" vertical="top" wrapText="1"/>
    </xf>
    <xf numFmtId="0" fontId="35" fillId="0" borderId="34" xfId="0" applyFont="1" applyBorder="1" applyAlignment="1">
      <alignment horizontal="left" vertical="top"/>
    </xf>
    <xf numFmtId="0" fontId="35" fillId="0" borderId="52" xfId="0" applyFont="1" applyBorder="1" applyAlignment="1">
      <alignment horizontal="left" vertical="top"/>
    </xf>
    <xf numFmtId="0" fontId="35" fillId="0" borderId="29" xfId="0" applyFont="1" applyBorder="1" applyAlignment="1">
      <alignment horizontal="left" vertical="top"/>
    </xf>
    <xf numFmtId="0" fontId="35" fillId="0" borderId="30" xfId="0" applyFont="1" applyBorder="1" applyAlignment="1">
      <alignment horizontal="left" vertical="top"/>
    </xf>
    <xf numFmtId="0" fontId="35" fillId="0" borderId="53" xfId="0" applyFont="1" applyBorder="1" applyAlignment="1">
      <alignment horizontal="left" vertical="top"/>
    </xf>
    <xf numFmtId="0" fontId="35" fillId="0" borderId="49" xfId="0" applyFont="1" applyBorder="1" applyAlignment="1">
      <alignment horizontal="left" vertical="center"/>
    </xf>
    <xf numFmtId="0" fontId="35" fillId="0" borderId="50" xfId="0" applyFont="1" applyBorder="1" applyAlignment="1">
      <alignment horizontal="left" vertical="center"/>
    </xf>
    <xf numFmtId="0" fontId="35" fillId="0" borderId="51" xfId="0" applyFont="1" applyBorder="1" applyAlignment="1">
      <alignment horizontal="left" vertical="center"/>
    </xf>
    <xf numFmtId="0" fontId="11" fillId="0" borderId="71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40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wrapText="1"/>
    </xf>
    <xf numFmtId="0" fontId="11" fillId="0" borderId="60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0" fillId="0" borderId="60" xfId="0" applyBorder="1"/>
    <xf numFmtId="0" fontId="0" fillId="0" borderId="25" xfId="0" applyBorder="1"/>
    <xf numFmtId="0" fontId="0" fillId="0" borderId="0" xfId="0"/>
    <xf numFmtId="0" fontId="0" fillId="0" borderId="61" xfId="0" applyBorder="1"/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68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58" xfId="0" applyFont="1" applyBorder="1" applyAlignment="1">
      <alignment horizontal="left" vertical="center"/>
    </xf>
    <xf numFmtId="0" fontId="11" fillId="0" borderId="61" xfId="0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 wrapText="1"/>
    </xf>
    <xf numFmtId="0" fontId="35" fillId="0" borderId="50" xfId="0" applyFont="1" applyBorder="1" applyAlignment="1">
      <alignment horizontal="center" vertical="center" wrapText="1"/>
    </xf>
    <xf numFmtId="0" fontId="35" fillId="0" borderId="76" xfId="0" applyFont="1" applyBorder="1" applyAlignment="1">
      <alignment horizontal="center" vertical="center" wrapText="1"/>
    </xf>
    <xf numFmtId="0" fontId="48" fillId="0" borderId="18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58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68" xfId="0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0" fontId="11" fillId="0" borderId="66" xfId="0" applyFont="1" applyBorder="1" applyAlignment="1">
      <alignment horizontal="left" vertical="center"/>
    </xf>
    <xf numFmtId="0" fontId="50" fillId="0" borderId="35" xfId="0" applyFont="1" applyBorder="1" applyAlignment="1">
      <alignment horizontal="left"/>
    </xf>
    <xf numFmtId="0" fontId="50" fillId="0" borderId="22" xfId="0" applyFont="1" applyBorder="1" applyAlignment="1">
      <alignment horizontal="left"/>
    </xf>
    <xf numFmtId="0" fontId="50" fillId="0" borderId="36" xfId="0" applyFont="1" applyBorder="1" applyAlignment="1">
      <alignment horizontal="left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57" xfId="0" applyFont="1" applyBorder="1" applyAlignment="1">
      <alignment horizontal="center" vertical="center"/>
    </xf>
    <xf numFmtId="0" fontId="35" fillId="0" borderId="35" xfId="0" applyFont="1" applyBorder="1" applyAlignment="1">
      <alignment horizontal="left" vertical="center" wrapText="1"/>
    </xf>
    <xf numFmtId="0" fontId="35" fillId="0" borderId="22" xfId="0" applyFont="1" applyBorder="1" applyAlignment="1">
      <alignment horizontal="left" vertical="center" wrapText="1"/>
    </xf>
    <xf numFmtId="0" fontId="35" fillId="0" borderId="36" xfId="0" applyFont="1" applyBorder="1" applyAlignment="1">
      <alignment horizontal="left" vertical="center" wrapText="1"/>
    </xf>
    <xf numFmtId="0" fontId="49" fillId="0" borderId="23" xfId="0" applyFont="1" applyBorder="1" applyAlignment="1">
      <alignment horizontal="center" vertical="center" wrapText="1"/>
    </xf>
    <xf numFmtId="0" fontId="49" fillId="0" borderId="24" xfId="0" applyFont="1" applyBorder="1" applyAlignment="1">
      <alignment horizontal="center" vertical="center" wrapText="1"/>
    </xf>
    <xf numFmtId="0" fontId="49" fillId="0" borderId="25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59" xfId="0" applyFont="1" applyBorder="1" applyAlignment="1">
      <alignment horizontal="center" vertical="center" wrapText="1"/>
    </xf>
    <xf numFmtId="0" fontId="49" fillId="0" borderId="40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62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64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46" fillId="24" borderId="15" xfId="0" applyFont="1" applyFill="1" applyBorder="1" applyAlignment="1">
      <alignment horizontal="left" vertical="top" wrapText="1"/>
    </xf>
    <xf numFmtId="0" fontId="46" fillId="24" borderId="16" xfId="0" applyFont="1" applyFill="1" applyBorder="1" applyAlignment="1">
      <alignment horizontal="left" vertical="top" wrapText="1"/>
    </xf>
    <xf numFmtId="0" fontId="46" fillId="24" borderId="58" xfId="0" applyFont="1" applyFill="1" applyBorder="1" applyAlignment="1">
      <alignment horizontal="left" vertical="top" wrapText="1"/>
    </xf>
    <xf numFmtId="0" fontId="39" fillId="26" borderId="44" xfId="0" applyFont="1" applyFill="1" applyBorder="1" applyAlignment="1">
      <alignment horizontal="center" vertical="center" wrapText="1"/>
    </xf>
    <xf numFmtId="2" fontId="39" fillId="26" borderId="44" xfId="0" applyNumberFormat="1" applyFont="1" applyFill="1" applyBorder="1" applyAlignment="1">
      <alignment horizontal="center" vertical="center" wrapText="1"/>
    </xf>
    <xf numFmtId="0" fontId="41" fillId="0" borderId="23" xfId="44" quotePrefix="1" applyFont="1" applyBorder="1" applyAlignment="1">
      <alignment horizontal="center" vertical="center"/>
    </xf>
    <xf numFmtId="0" fontId="9" fillId="0" borderId="24" xfId="44" applyBorder="1" applyAlignment="1">
      <alignment horizontal="center" vertical="center"/>
    </xf>
    <xf numFmtId="0" fontId="9" fillId="0" borderId="25" xfId="44" applyBorder="1" applyAlignment="1">
      <alignment horizontal="center" vertical="center"/>
    </xf>
    <xf numFmtId="0" fontId="9" fillId="0" borderId="17" xfId="44" applyBorder="1" applyAlignment="1">
      <alignment horizontal="center" vertical="center"/>
    </xf>
    <xf numFmtId="0" fontId="9" fillId="0" borderId="0" xfId="44" applyAlignment="1">
      <alignment horizontal="center" vertical="center"/>
    </xf>
    <xf numFmtId="0" fontId="9" fillId="0" borderId="61" xfId="44" applyBorder="1" applyAlignment="1">
      <alignment horizontal="center" vertical="center"/>
    </xf>
    <xf numFmtId="0" fontId="9" fillId="0" borderId="19" xfId="44" applyBorder="1" applyAlignment="1">
      <alignment horizontal="center" vertical="center"/>
    </xf>
    <xf numFmtId="0" fontId="9" fillId="0" borderId="59" xfId="44" applyBorder="1" applyAlignment="1">
      <alignment horizontal="center" vertical="center"/>
    </xf>
    <xf numFmtId="0" fontId="9" fillId="0" borderId="40" xfId="44" applyBorder="1" applyAlignment="1">
      <alignment horizontal="center" vertical="center"/>
    </xf>
    <xf numFmtId="0" fontId="9" fillId="0" borderId="22" xfId="44" quotePrefix="1" applyBorder="1" applyAlignment="1">
      <alignment horizontal="center"/>
    </xf>
    <xf numFmtId="0" fontId="9" fillId="0" borderId="22" xfId="44" applyBorder="1" applyAlignment="1">
      <alignment horizontal="center"/>
    </xf>
    <xf numFmtId="0" fontId="9" fillId="0" borderId="36" xfId="44" applyBorder="1" applyAlignment="1">
      <alignment horizontal="center"/>
    </xf>
    <xf numFmtId="166" fontId="35" fillId="25" borderId="19" xfId="0" applyNumberFormat="1" applyFont="1" applyFill="1" applyBorder="1" applyAlignment="1">
      <alignment horizontal="center"/>
    </xf>
    <xf numFmtId="166" fontId="35" fillId="0" borderId="20" xfId="0" applyNumberFormat="1" applyFont="1" applyBorder="1" applyAlignment="1">
      <alignment horizontal="center"/>
    </xf>
  </cellXfs>
  <cellStyles count="6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3" builtinId="3"/>
    <cellStyle name="Comma 2" xfId="61" xr:uid="{00000000-0005-0000-0000-00001C000000}"/>
    <cellStyle name="Explanatory Text" xfId="28" builtinId="53" customBuiltin="1"/>
    <cellStyle name="Good" xfId="29" builtinId="26" customBuiltin="1"/>
    <cellStyle name="Good 2" xfId="66" xr:uid="{00000000-0005-0000-0000-00001F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10" xfId="65" xr:uid="{00000000-0005-0000-0000-000028000000}"/>
    <cellStyle name="Normal 19" xfId="59" xr:uid="{00000000-0005-0000-0000-000029000000}"/>
    <cellStyle name="Normal 2" xfId="37" xr:uid="{00000000-0005-0000-0000-00002A000000}"/>
    <cellStyle name="Normal 2 2" xfId="58" xr:uid="{00000000-0005-0000-0000-00002B000000}"/>
    <cellStyle name="Normal 3" xfId="44" xr:uid="{00000000-0005-0000-0000-00002C000000}"/>
    <cellStyle name="Normal 3 2" xfId="48" xr:uid="{00000000-0005-0000-0000-00002D000000}"/>
    <cellStyle name="Normal 3 2 2" xfId="54" xr:uid="{00000000-0005-0000-0000-00002E000000}"/>
    <cellStyle name="Normal 3 3" xfId="51" xr:uid="{00000000-0005-0000-0000-00002F000000}"/>
    <cellStyle name="Normal 4" xfId="45" xr:uid="{00000000-0005-0000-0000-000030000000}"/>
    <cellStyle name="Normal 4 2" xfId="49" xr:uid="{00000000-0005-0000-0000-000031000000}"/>
    <cellStyle name="Normal 4 2 2" xfId="55" xr:uid="{00000000-0005-0000-0000-000032000000}"/>
    <cellStyle name="Normal 4 3" xfId="52" xr:uid="{00000000-0005-0000-0000-000033000000}"/>
    <cellStyle name="Normal 4 4" xfId="63" xr:uid="{00000000-0005-0000-0000-000034000000}"/>
    <cellStyle name="Normal 5" xfId="46" xr:uid="{00000000-0005-0000-0000-000035000000}"/>
    <cellStyle name="Normal 5 2" xfId="50" xr:uid="{00000000-0005-0000-0000-000036000000}"/>
    <cellStyle name="Normal 5 2 2" xfId="56" xr:uid="{00000000-0005-0000-0000-000037000000}"/>
    <cellStyle name="Normal 5 3" xfId="53" xr:uid="{00000000-0005-0000-0000-000038000000}"/>
    <cellStyle name="Normal 6" xfId="47" xr:uid="{00000000-0005-0000-0000-000039000000}"/>
    <cellStyle name="Normal 7" xfId="57" xr:uid="{00000000-0005-0000-0000-00003A000000}"/>
    <cellStyle name="Normal 8" xfId="60" xr:uid="{00000000-0005-0000-0000-00003B000000}"/>
    <cellStyle name="Normal 9" xfId="64" xr:uid="{00000000-0005-0000-0000-00003C000000}"/>
    <cellStyle name="Note" xfId="38" builtinId="10" customBuiltin="1"/>
    <cellStyle name="Output" xfId="39" builtinId="21" customBuiltin="1"/>
    <cellStyle name="Percent 2" xfId="62" xr:uid="{00000000-0005-0000-0000-00003F000000}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57150</xdr:rowOff>
    </xdr:from>
    <xdr:to>
      <xdr:col>2</xdr:col>
      <xdr:colOff>66675</xdr:colOff>
      <xdr:row>2</xdr:row>
      <xdr:rowOff>171450</xdr:rowOff>
    </xdr:to>
    <xdr:pic>
      <xdr:nvPicPr>
        <xdr:cNvPr id="7" name="Picture 2" descr="Description: Description: Description: Description: Description: Description: Description: Description: Description: Description: cid:image001.jpg@01CFD9AD.6F8FAC1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75" y="228600"/>
          <a:ext cx="55245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2895601</xdr:colOff>
      <xdr:row>7</xdr:row>
      <xdr:rowOff>66676</xdr:rowOff>
    </xdr:from>
    <xdr:to>
      <xdr:col>3</xdr:col>
      <xdr:colOff>914400</xdr:colOff>
      <xdr:row>14</xdr:row>
      <xdr:rowOff>151540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052654-0CCD-259F-D1C2-06179E15A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1451" y="1600201"/>
          <a:ext cx="1419224" cy="1551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76200</xdr:rowOff>
    </xdr:from>
    <xdr:to>
      <xdr:col>0</xdr:col>
      <xdr:colOff>695325</xdr:colOff>
      <xdr:row>3</xdr:row>
      <xdr:rowOff>102379</xdr:rowOff>
    </xdr:to>
    <xdr:pic>
      <xdr:nvPicPr>
        <xdr:cNvPr id="2" name="Picture 2" descr="Description: Description: Description: Description: Description: Description: Description: Description: Description: Description: cid:image001.jpg@01CFD9AD.6F8FAC1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76225"/>
          <a:ext cx="638175" cy="407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R199"/>
  <sheetViews>
    <sheetView workbookViewId="0">
      <pane ySplit="4" topLeftCell="A5" activePane="bottomLeft" state="frozen"/>
      <selection pane="bottomLeft" activeCell="R2" sqref="R2:R10"/>
    </sheetView>
  </sheetViews>
  <sheetFormatPr defaultRowHeight="12.75" x14ac:dyDescent="0.2"/>
  <cols>
    <col min="2" max="2" width="17.7109375" bestFit="1" customWidth="1"/>
    <col min="3" max="3" width="14.28515625" customWidth="1"/>
    <col min="18" max="18" width="18.5703125" bestFit="1" customWidth="1"/>
  </cols>
  <sheetData>
    <row r="2" spans="2:18" x14ac:dyDescent="0.2">
      <c r="R2" s="90" t="s">
        <v>110</v>
      </c>
    </row>
    <row r="3" spans="2:18" ht="15" x14ac:dyDescent="0.2">
      <c r="B3" s="13"/>
      <c r="C3" s="27" t="s">
        <v>57</v>
      </c>
      <c r="D3" s="299" t="s">
        <v>55</v>
      </c>
      <c r="E3" s="299"/>
      <c r="F3" s="299" t="s">
        <v>56</v>
      </c>
      <c r="G3" s="299"/>
      <c r="H3" s="9" t="s">
        <v>57</v>
      </c>
      <c r="I3" s="299" t="s">
        <v>13</v>
      </c>
      <c r="J3" s="299" t="s">
        <v>58</v>
      </c>
      <c r="K3" s="300" t="s">
        <v>59</v>
      </c>
      <c r="R3" t="s">
        <v>112</v>
      </c>
    </row>
    <row r="4" spans="2:18" ht="15" x14ac:dyDescent="0.2">
      <c r="B4" s="10" t="s">
        <v>111</v>
      </c>
      <c r="C4" s="27" t="s">
        <v>56</v>
      </c>
      <c r="D4" s="27" t="s">
        <v>60</v>
      </c>
      <c r="E4" s="27" t="s">
        <v>61</v>
      </c>
      <c r="F4" s="27" t="s">
        <v>60</v>
      </c>
      <c r="G4" s="27" t="s">
        <v>61</v>
      </c>
      <c r="H4" s="9" t="s">
        <v>58</v>
      </c>
      <c r="I4" s="299"/>
      <c r="J4" s="299"/>
      <c r="K4" s="300"/>
      <c r="R4" s="1" t="s">
        <v>121</v>
      </c>
    </row>
    <row r="5" spans="2:18" x14ac:dyDescent="0.2">
      <c r="B5" s="78" t="s">
        <v>110</v>
      </c>
      <c r="C5" s="79">
        <v>0.95</v>
      </c>
      <c r="D5" s="80" t="s">
        <v>62</v>
      </c>
      <c r="E5" s="80" t="s">
        <v>63</v>
      </c>
      <c r="F5" s="81">
        <v>0.9</v>
      </c>
      <c r="G5" s="81">
        <v>1</v>
      </c>
      <c r="H5" s="82">
        <v>3.7000000000000002E-3</v>
      </c>
      <c r="I5" s="13"/>
      <c r="J5" s="13"/>
      <c r="K5" s="13"/>
      <c r="R5" s="91" t="s">
        <v>122</v>
      </c>
    </row>
    <row r="6" spans="2:18" x14ac:dyDescent="0.2">
      <c r="B6" s="78" t="s">
        <v>110</v>
      </c>
      <c r="C6" s="79">
        <v>1.05</v>
      </c>
      <c r="D6" s="80" t="s">
        <v>63</v>
      </c>
      <c r="E6" s="80">
        <v>0</v>
      </c>
      <c r="F6" s="81">
        <v>1</v>
      </c>
      <c r="G6" s="81">
        <v>1.1000000000000001</v>
      </c>
      <c r="H6" s="82">
        <v>4.5999999999999999E-3</v>
      </c>
      <c r="I6" s="13"/>
      <c r="J6" s="13"/>
      <c r="K6" s="13"/>
      <c r="R6" s="1" t="s">
        <v>123</v>
      </c>
    </row>
    <row r="7" spans="2:18" x14ac:dyDescent="0.2">
      <c r="B7" s="78" t="s">
        <v>110</v>
      </c>
      <c r="C7" s="79">
        <v>1.1000000000000001</v>
      </c>
      <c r="D7" s="83">
        <v>0</v>
      </c>
      <c r="E7" s="83">
        <v>1</v>
      </c>
      <c r="F7" s="81">
        <v>1.1000000000000001</v>
      </c>
      <c r="G7" s="81">
        <v>1.1499999999999999</v>
      </c>
      <c r="H7" s="82">
        <v>5.7999999999999996E-3</v>
      </c>
      <c r="I7" s="13"/>
      <c r="J7" s="13"/>
      <c r="K7" s="13"/>
      <c r="R7" s="1" t="s">
        <v>124</v>
      </c>
    </row>
    <row r="8" spans="2:18" x14ac:dyDescent="0.2">
      <c r="B8" s="78" t="s">
        <v>110</v>
      </c>
      <c r="C8" s="84">
        <v>1.2</v>
      </c>
      <c r="D8" s="85">
        <v>1</v>
      </c>
      <c r="E8" s="83">
        <v>2</v>
      </c>
      <c r="F8" s="81">
        <v>1.1499999999999999</v>
      </c>
      <c r="G8" s="81">
        <v>1.25</v>
      </c>
      <c r="H8" s="82">
        <v>7.1999999999999998E-3</v>
      </c>
      <c r="I8" s="13"/>
      <c r="J8" s="13"/>
      <c r="K8" s="13"/>
      <c r="R8" s="1" t="s">
        <v>125</v>
      </c>
    </row>
    <row r="9" spans="2:18" x14ac:dyDescent="0.2">
      <c r="B9" s="78" t="s">
        <v>110</v>
      </c>
      <c r="C9" s="86">
        <v>1.3</v>
      </c>
      <c r="D9" s="87">
        <v>2</v>
      </c>
      <c r="E9" s="83">
        <v>3</v>
      </c>
      <c r="F9" s="88">
        <v>1.25</v>
      </c>
      <c r="G9" s="81">
        <v>1.35</v>
      </c>
      <c r="H9" s="89">
        <v>9.1000000000000004E-3</v>
      </c>
      <c r="I9" s="13"/>
      <c r="J9" s="13"/>
      <c r="K9" s="13"/>
      <c r="R9" s="1" t="s">
        <v>126</v>
      </c>
    </row>
    <row r="10" spans="2:18" x14ac:dyDescent="0.2">
      <c r="B10" s="78" t="s">
        <v>110</v>
      </c>
      <c r="C10" s="84">
        <v>1.4</v>
      </c>
      <c r="D10" s="85">
        <v>3</v>
      </c>
      <c r="E10" s="83">
        <v>4</v>
      </c>
      <c r="F10" s="81">
        <v>1.35</v>
      </c>
      <c r="G10" s="81">
        <v>1.45</v>
      </c>
      <c r="H10" s="89">
        <v>1.0999999999999999E-2</v>
      </c>
      <c r="I10" s="13"/>
      <c r="J10" s="13"/>
      <c r="K10" s="13"/>
      <c r="R10" s="1" t="s">
        <v>127</v>
      </c>
    </row>
    <row r="11" spans="2:18" x14ac:dyDescent="0.2">
      <c r="B11" s="78" t="s">
        <v>110</v>
      </c>
      <c r="C11" s="79">
        <v>1.48</v>
      </c>
      <c r="D11" s="83">
        <v>4</v>
      </c>
      <c r="E11" s="83">
        <v>4.5</v>
      </c>
      <c r="F11" s="81">
        <v>1.45</v>
      </c>
      <c r="G11" s="81">
        <v>1.5</v>
      </c>
      <c r="H11" s="89">
        <v>1.2999999999999999E-2</v>
      </c>
      <c r="I11" s="13"/>
      <c r="J11" s="13"/>
      <c r="K11" s="13"/>
    </row>
    <row r="12" spans="2:18" x14ac:dyDescent="0.2">
      <c r="B12" s="78" t="s">
        <v>110</v>
      </c>
      <c r="C12" s="79">
        <v>1.5</v>
      </c>
      <c r="D12" s="85">
        <v>4</v>
      </c>
      <c r="E12" s="83">
        <v>5</v>
      </c>
      <c r="F12" s="81">
        <v>1.45</v>
      </c>
      <c r="G12" s="81">
        <v>1.55</v>
      </c>
      <c r="H12" s="82">
        <v>1.3599999999999999E-2</v>
      </c>
      <c r="I12" s="13"/>
      <c r="J12" s="13"/>
      <c r="K12" s="13"/>
    </row>
    <row r="13" spans="2:18" x14ac:dyDescent="0.2">
      <c r="B13" s="78" t="s">
        <v>110</v>
      </c>
      <c r="C13" s="79">
        <v>1.53</v>
      </c>
      <c r="D13" s="83">
        <v>4.5</v>
      </c>
      <c r="E13" s="83">
        <v>5</v>
      </c>
      <c r="F13" s="81">
        <v>1.5</v>
      </c>
      <c r="G13" s="81">
        <v>1.55</v>
      </c>
      <c r="H13" s="82">
        <v>1.4E-2</v>
      </c>
      <c r="I13" s="13"/>
      <c r="J13" s="13"/>
      <c r="K13" s="13"/>
    </row>
    <row r="14" spans="2:18" x14ac:dyDescent="0.2">
      <c r="B14" s="78" t="s">
        <v>110</v>
      </c>
      <c r="C14" s="79">
        <v>1.58</v>
      </c>
      <c r="D14" s="83">
        <v>5</v>
      </c>
      <c r="E14" s="83">
        <v>5.5</v>
      </c>
      <c r="F14" s="81">
        <v>1.55</v>
      </c>
      <c r="G14" s="81">
        <v>1.6</v>
      </c>
      <c r="H14" s="82">
        <v>1.55E-2</v>
      </c>
      <c r="I14" s="13"/>
      <c r="J14" s="13"/>
      <c r="K14" s="13"/>
    </row>
    <row r="15" spans="2:18" x14ac:dyDescent="0.2">
      <c r="B15" s="78" t="s">
        <v>110</v>
      </c>
      <c r="C15" s="79">
        <v>1.65</v>
      </c>
      <c r="D15" s="83">
        <v>5.5</v>
      </c>
      <c r="E15" s="83">
        <v>6</v>
      </c>
      <c r="F15" s="81">
        <v>1.6</v>
      </c>
      <c r="G15" s="81">
        <v>1.7</v>
      </c>
      <c r="H15" s="82">
        <v>1.7999999999999999E-2</v>
      </c>
      <c r="I15" s="13"/>
      <c r="J15" s="13"/>
      <c r="K15" s="13"/>
    </row>
    <row r="16" spans="2:18" x14ac:dyDescent="0.2">
      <c r="B16" s="78" t="s">
        <v>110</v>
      </c>
      <c r="C16" s="79">
        <v>1.75</v>
      </c>
      <c r="D16" s="83">
        <v>6</v>
      </c>
      <c r="E16" s="83">
        <v>6.5</v>
      </c>
      <c r="F16" s="81">
        <v>1.7</v>
      </c>
      <c r="G16" s="81">
        <v>1.8</v>
      </c>
      <c r="H16" s="82">
        <v>2.1000000000000001E-2</v>
      </c>
      <c r="I16" s="13"/>
      <c r="J16" s="13"/>
      <c r="K16" s="13"/>
    </row>
    <row r="17" spans="2:11" x14ac:dyDescent="0.2">
      <c r="B17" s="10" t="s">
        <v>110</v>
      </c>
      <c r="C17" s="7">
        <v>1.85</v>
      </c>
      <c r="D17" s="4">
        <v>6.5</v>
      </c>
      <c r="E17" s="4">
        <v>7</v>
      </c>
      <c r="F17" s="5">
        <v>1.8</v>
      </c>
      <c r="G17" s="5">
        <v>1.9</v>
      </c>
      <c r="H17" s="20">
        <v>2.5000000000000001E-2</v>
      </c>
      <c r="I17" s="13"/>
      <c r="J17" s="13"/>
      <c r="K17" s="13"/>
    </row>
    <row r="18" spans="2:11" x14ac:dyDescent="0.2">
      <c r="B18" s="10" t="s">
        <v>110</v>
      </c>
      <c r="C18" s="7">
        <v>1.95</v>
      </c>
      <c r="D18" s="4">
        <v>7</v>
      </c>
      <c r="E18" s="4">
        <v>7.5</v>
      </c>
      <c r="F18" s="5">
        <v>1.9</v>
      </c>
      <c r="G18" s="5">
        <v>2</v>
      </c>
      <c r="H18" s="20">
        <v>2.9000000000000001E-2</v>
      </c>
      <c r="I18" s="13"/>
      <c r="J18" s="13"/>
      <c r="K18" s="13"/>
    </row>
    <row r="19" spans="2:11" x14ac:dyDescent="0.2">
      <c r="B19" s="10" t="s">
        <v>110</v>
      </c>
      <c r="C19" s="7">
        <v>2.0499999999999998</v>
      </c>
      <c r="D19" s="19">
        <v>7.5</v>
      </c>
      <c r="E19" s="4">
        <v>8</v>
      </c>
      <c r="F19" s="5">
        <v>2</v>
      </c>
      <c r="G19" s="5">
        <v>2.1</v>
      </c>
      <c r="H19" s="20">
        <v>3.4000000000000002E-2</v>
      </c>
      <c r="I19" s="13"/>
      <c r="J19" s="13"/>
      <c r="K19" s="13"/>
    </row>
    <row r="20" spans="2:11" x14ac:dyDescent="0.2">
      <c r="B20" s="10" t="s">
        <v>110</v>
      </c>
      <c r="C20" s="11">
        <v>2.15</v>
      </c>
      <c r="D20" s="3">
        <v>8</v>
      </c>
      <c r="E20" s="3">
        <v>8.5</v>
      </c>
      <c r="F20" s="2">
        <v>2.1</v>
      </c>
      <c r="G20" s="2">
        <v>2.2000000000000002</v>
      </c>
      <c r="H20" s="12">
        <v>3.9E-2</v>
      </c>
      <c r="I20" s="13"/>
      <c r="J20" s="13"/>
      <c r="K20" s="13"/>
    </row>
    <row r="21" spans="2:11" x14ac:dyDescent="0.2">
      <c r="B21" s="10" t="s">
        <v>110</v>
      </c>
      <c r="C21" s="21">
        <v>2.25</v>
      </c>
      <c r="D21" s="22">
        <v>8.5</v>
      </c>
      <c r="E21" s="4">
        <v>9</v>
      </c>
      <c r="F21" s="6">
        <v>2.2000000000000002</v>
      </c>
      <c r="G21" s="5">
        <v>2.2999999999999998</v>
      </c>
      <c r="H21" s="17">
        <v>4.3999999999999997E-2</v>
      </c>
      <c r="I21" s="13"/>
      <c r="J21" s="13"/>
      <c r="K21" s="13"/>
    </row>
    <row r="22" spans="2:11" x14ac:dyDescent="0.2">
      <c r="B22" s="10" t="s">
        <v>110</v>
      </c>
      <c r="C22" s="18">
        <v>2.35</v>
      </c>
      <c r="D22" s="4">
        <v>9</v>
      </c>
      <c r="E22" s="4">
        <v>9.5</v>
      </c>
      <c r="F22" s="5">
        <v>2.2999999999999998</v>
      </c>
      <c r="G22" s="5">
        <v>2.4</v>
      </c>
      <c r="H22" s="17">
        <v>4.9000000000000002E-2</v>
      </c>
      <c r="I22" s="13"/>
      <c r="J22" s="13"/>
      <c r="K22" s="13"/>
    </row>
    <row r="23" spans="2:11" x14ac:dyDescent="0.2">
      <c r="B23" s="10" t="s">
        <v>110</v>
      </c>
      <c r="C23" s="18">
        <v>2.4500000000000002</v>
      </c>
      <c r="D23" s="4">
        <v>9.5</v>
      </c>
      <c r="E23" s="4">
        <v>10</v>
      </c>
      <c r="F23" s="5">
        <v>2.4</v>
      </c>
      <c r="G23" s="5">
        <v>2.5</v>
      </c>
      <c r="H23" s="23">
        <v>5.8000000000000003E-2</v>
      </c>
      <c r="I23" s="13"/>
      <c r="J23" s="13"/>
      <c r="K23" s="13"/>
    </row>
    <row r="24" spans="2:11" x14ac:dyDescent="0.2">
      <c r="B24" s="10" t="s">
        <v>110</v>
      </c>
      <c r="C24" s="18">
        <v>2.5499999999999998</v>
      </c>
      <c r="D24" s="4">
        <v>10</v>
      </c>
      <c r="E24" s="4">
        <v>10.5</v>
      </c>
      <c r="F24" s="5">
        <v>2.5</v>
      </c>
      <c r="G24" s="5">
        <v>2.6</v>
      </c>
      <c r="H24" s="23">
        <v>6.4000000000000001E-2</v>
      </c>
      <c r="I24" s="13"/>
      <c r="J24" s="13"/>
      <c r="K24" s="13"/>
    </row>
    <row r="25" spans="2:11" x14ac:dyDescent="0.2">
      <c r="B25" s="10" t="s">
        <v>110</v>
      </c>
      <c r="C25" s="14">
        <v>2.65</v>
      </c>
      <c r="D25" s="3">
        <v>10.5</v>
      </c>
      <c r="E25" s="3">
        <v>11</v>
      </c>
      <c r="F25" s="2">
        <v>2.6</v>
      </c>
      <c r="G25" s="2">
        <v>2.7</v>
      </c>
      <c r="H25" s="24">
        <v>7.0000000000000007E-2</v>
      </c>
      <c r="I25" s="13"/>
      <c r="J25" s="13"/>
      <c r="K25" s="13"/>
    </row>
    <row r="26" spans="2:11" x14ac:dyDescent="0.2">
      <c r="B26" s="10" t="s">
        <v>110</v>
      </c>
      <c r="C26" s="14">
        <v>2.75</v>
      </c>
      <c r="D26" s="3">
        <v>11</v>
      </c>
      <c r="E26" s="3">
        <v>11.5</v>
      </c>
      <c r="F26" s="2">
        <v>2.7</v>
      </c>
      <c r="G26" s="2">
        <v>2.8</v>
      </c>
      <c r="H26" s="24">
        <v>7.9000000000000001E-2</v>
      </c>
      <c r="I26" s="13"/>
      <c r="J26" s="13"/>
      <c r="K26" s="13"/>
    </row>
    <row r="27" spans="2:11" x14ac:dyDescent="0.2">
      <c r="B27" s="10" t="s">
        <v>110</v>
      </c>
      <c r="C27" s="14">
        <v>2.85</v>
      </c>
      <c r="D27" s="3">
        <v>11.5</v>
      </c>
      <c r="E27" s="3">
        <v>12</v>
      </c>
      <c r="F27" s="2">
        <v>2.8</v>
      </c>
      <c r="G27" s="2">
        <v>2.9</v>
      </c>
      <c r="H27" s="24">
        <v>8.5999999999999993E-2</v>
      </c>
      <c r="I27" s="13"/>
      <c r="J27" s="13"/>
      <c r="K27" s="13"/>
    </row>
    <row r="28" spans="2:11" x14ac:dyDescent="0.2">
      <c r="B28" s="10" t="s">
        <v>110</v>
      </c>
      <c r="C28" s="15">
        <v>2.95</v>
      </c>
      <c r="D28" s="22">
        <v>12</v>
      </c>
      <c r="E28" s="4">
        <v>12.5</v>
      </c>
      <c r="F28" s="6">
        <v>2.9</v>
      </c>
      <c r="G28" s="5">
        <v>3</v>
      </c>
      <c r="H28" s="23">
        <v>9.6000000000000002E-2</v>
      </c>
      <c r="I28" s="13"/>
      <c r="J28" s="13"/>
      <c r="K28" s="13"/>
    </row>
    <row r="29" spans="2:11" x14ac:dyDescent="0.2">
      <c r="B29" s="10" t="s">
        <v>110</v>
      </c>
      <c r="C29" s="15">
        <v>3.05</v>
      </c>
      <c r="D29" s="22">
        <v>12.5</v>
      </c>
      <c r="E29" s="4">
        <v>13</v>
      </c>
      <c r="F29" s="6">
        <v>3</v>
      </c>
      <c r="G29" s="5">
        <v>3.1</v>
      </c>
      <c r="H29" s="23">
        <v>0.106</v>
      </c>
      <c r="I29" s="13"/>
      <c r="J29" s="13"/>
      <c r="K29" s="13"/>
    </row>
    <row r="30" spans="2:11" x14ac:dyDescent="0.2">
      <c r="B30" s="10" t="s">
        <v>110</v>
      </c>
      <c r="C30" s="21">
        <v>3.15</v>
      </c>
      <c r="D30" s="22">
        <v>13</v>
      </c>
      <c r="E30" s="4">
        <v>13.5</v>
      </c>
      <c r="F30" s="6">
        <v>3.1</v>
      </c>
      <c r="G30" s="5">
        <v>3.2</v>
      </c>
      <c r="H30" s="23">
        <v>0.11600000000000001</v>
      </c>
      <c r="I30" s="13"/>
      <c r="J30" s="13"/>
      <c r="K30" s="13"/>
    </row>
    <row r="31" spans="2:11" x14ac:dyDescent="0.2">
      <c r="B31" s="10" t="s">
        <v>110</v>
      </c>
      <c r="C31" s="21">
        <v>3.25</v>
      </c>
      <c r="D31" s="22">
        <v>13.5</v>
      </c>
      <c r="E31" s="4">
        <v>14</v>
      </c>
      <c r="F31" s="6">
        <v>3.2</v>
      </c>
      <c r="G31" s="5">
        <v>3.3</v>
      </c>
      <c r="H31" s="23">
        <v>0.13200000000000001</v>
      </c>
      <c r="I31" s="13"/>
      <c r="J31" s="13"/>
      <c r="K31" s="13"/>
    </row>
    <row r="32" spans="2:11" x14ac:dyDescent="0.2">
      <c r="B32" s="10" t="s">
        <v>110</v>
      </c>
      <c r="C32" s="21">
        <v>3.35</v>
      </c>
      <c r="D32" s="22">
        <v>14</v>
      </c>
      <c r="E32" s="4">
        <v>14.5</v>
      </c>
      <c r="F32" s="6">
        <v>3.3</v>
      </c>
      <c r="G32" s="5">
        <v>3.4</v>
      </c>
      <c r="H32" s="23">
        <v>0.14399999999999999</v>
      </c>
      <c r="I32" s="13"/>
      <c r="J32" s="13"/>
      <c r="K32" s="13"/>
    </row>
    <row r="33" spans="2:11" x14ac:dyDescent="0.2">
      <c r="B33" s="10" t="s">
        <v>110</v>
      </c>
      <c r="C33" s="21">
        <v>3.45</v>
      </c>
      <c r="D33" s="22">
        <v>14.5</v>
      </c>
      <c r="E33" s="4">
        <v>15</v>
      </c>
      <c r="F33" s="6">
        <v>3.4</v>
      </c>
      <c r="G33" s="5">
        <v>3.5</v>
      </c>
      <c r="H33" s="23">
        <v>0.156</v>
      </c>
      <c r="I33" s="13"/>
      <c r="J33" s="13"/>
      <c r="K33" s="13"/>
    </row>
    <row r="34" spans="2:11" x14ac:dyDescent="0.2">
      <c r="B34" s="10" t="s">
        <v>110</v>
      </c>
      <c r="C34" s="7">
        <v>3.55</v>
      </c>
      <c r="D34" s="4">
        <v>15</v>
      </c>
      <c r="E34" s="4">
        <v>15.5</v>
      </c>
      <c r="F34" s="5">
        <v>3.5</v>
      </c>
      <c r="G34" s="5">
        <v>3.6</v>
      </c>
      <c r="H34" s="23">
        <v>0.16800000000000001</v>
      </c>
      <c r="I34" s="13"/>
      <c r="J34" s="13"/>
      <c r="K34" s="13"/>
    </row>
    <row r="35" spans="2:11" x14ac:dyDescent="0.2">
      <c r="B35" s="10" t="s">
        <v>110</v>
      </c>
      <c r="C35" s="7">
        <v>3.65</v>
      </c>
      <c r="D35" s="5">
        <v>0.18</v>
      </c>
      <c r="E35" s="5">
        <v>0.23</v>
      </c>
      <c r="F35" s="5">
        <v>3.5</v>
      </c>
      <c r="G35" s="5">
        <v>3.8</v>
      </c>
      <c r="H35" s="25">
        <v>0.19</v>
      </c>
      <c r="I35" s="13"/>
      <c r="J35" s="13"/>
      <c r="K35" s="13"/>
    </row>
    <row r="36" spans="2:11" x14ac:dyDescent="0.2">
      <c r="B36" s="10" t="s">
        <v>110</v>
      </c>
      <c r="C36" s="7">
        <v>3.95</v>
      </c>
      <c r="D36" s="5">
        <v>0.23</v>
      </c>
      <c r="E36" s="5">
        <v>0.28999999999999998</v>
      </c>
      <c r="F36" s="5">
        <v>3.8</v>
      </c>
      <c r="G36" s="5">
        <v>4.2</v>
      </c>
      <c r="H36" s="25">
        <v>0.24</v>
      </c>
      <c r="I36" s="13"/>
      <c r="J36" s="13"/>
      <c r="K36" s="13"/>
    </row>
    <row r="37" spans="2:11" x14ac:dyDescent="0.2">
      <c r="B37" s="10" t="s">
        <v>110</v>
      </c>
      <c r="C37" s="7">
        <v>4.25</v>
      </c>
      <c r="D37" s="5">
        <v>0.28999999999999998</v>
      </c>
      <c r="E37" s="5">
        <v>0.35</v>
      </c>
      <c r="F37" s="5">
        <v>4.0999999999999996</v>
      </c>
      <c r="G37" s="5">
        <v>4.5</v>
      </c>
      <c r="H37" s="25">
        <v>0.3</v>
      </c>
      <c r="I37" s="13"/>
      <c r="J37" s="13"/>
      <c r="K37" s="13"/>
    </row>
    <row r="38" spans="2:11" x14ac:dyDescent="0.2">
      <c r="B38" s="10" t="s">
        <v>110</v>
      </c>
      <c r="C38" s="7">
        <v>4.55</v>
      </c>
      <c r="D38" s="7">
        <v>0.35</v>
      </c>
      <c r="E38" s="7">
        <v>0.44</v>
      </c>
      <c r="F38" s="7">
        <v>4.4000000000000004</v>
      </c>
      <c r="G38" s="7">
        <v>4.8</v>
      </c>
      <c r="H38" s="26">
        <v>0.36</v>
      </c>
      <c r="I38" s="13"/>
      <c r="J38" s="13"/>
      <c r="K38" s="13"/>
    </row>
    <row r="39" spans="2:11" x14ac:dyDescent="0.2">
      <c r="B39" s="10" t="s">
        <v>110</v>
      </c>
      <c r="C39" s="7">
        <v>4.55</v>
      </c>
      <c r="D39" s="7">
        <v>0.37</v>
      </c>
      <c r="E39" s="7">
        <v>0.45</v>
      </c>
      <c r="F39" s="7">
        <v>4.4000000000000004</v>
      </c>
      <c r="G39" s="7">
        <v>4.8</v>
      </c>
      <c r="H39" s="26">
        <v>0.38</v>
      </c>
      <c r="I39" s="13"/>
      <c r="J39" s="13"/>
      <c r="K39" s="13"/>
    </row>
    <row r="40" spans="2:11" x14ac:dyDescent="0.2">
      <c r="B40" s="10" t="s">
        <v>110</v>
      </c>
      <c r="C40" s="7">
        <v>4.95</v>
      </c>
      <c r="D40" s="5">
        <v>0.45</v>
      </c>
      <c r="E40" s="5">
        <v>0.57999999999999996</v>
      </c>
      <c r="F40" s="5">
        <v>4.8</v>
      </c>
      <c r="G40" s="5">
        <v>5.5</v>
      </c>
      <c r="H40" s="25">
        <v>0.46</v>
      </c>
      <c r="I40" s="13"/>
      <c r="J40" s="13"/>
      <c r="K40" s="13"/>
    </row>
    <row r="41" spans="2:11" x14ac:dyDescent="0.2">
      <c r="B41" s="10" t="s">
        <v>110</v>
      </c>
      <c r="C41" s="7">
        <v>5.4</v>
      </c>
      <c r="D41" s="5">
        <v>0.57999999999999996</v>
      </c>
      <c r="E41" s="5">
        <v>0.68</v>
      </c>
      <c r="F41" s="5">
        <v>5.2</v>
      </c>
      <c r="G41" s="5">
        <v>5.9</v>
      </c>
      <c r="H41" s="25">
        <v>0.6</v>
      </c>
      <c r="I41" s="13"/>
      <c r="J41" s="13"/>
      <c r="K41" s="13"/>
    </row>
    <row r="42" spans="2:11" x14ac:dyDescent="0.2">
      <c r="B42" s="10" t="s">
        <v>110</v>
      </c>
      <c r="C42" s="7">
        <v>5.6</v>
      </c>
      <c r="D42" s="5">
        <v>0.69</v>
      </c>
      <c r="E42" s="5">
        <v>0.84</v>
      </c>
      <c r="F42" s="5">
        <v>5.4</v>
      </c>
      <c r="G42" s="5">
        <v>5.9</v>
      </c>
      <c r="H42" s="25">
        <v>0.71</v>
      </c>
      <c r="I42" s="13"/>
      <c r="J42" s="13"/>
      <c r="K42" s="13"/>
    </row>
    <row r="43" spans="2:11" x14ac:dyDescent="0.2">
      <c r="B43" s="10" t="s">
        <v>110</v>
      </c>
      <c r="C43" s="7">
        <v>6</v>
      </c>
      <c r="D43" s="5">
        <v>0.84</v>
      </c>
      <c r="E43" s="5">
        <v>0.94</v>
      </c>
      <c r="F43" s="5">
        <v>5.8</v>
      </c>
      <c r="G43" s="5">
        <v>6.1</v>
      </c>
      <c r="H43" s="25">
        <v>0.85</v>
      </c>
      <c r="I43" s="13"/>
      <c r="J43" s="13"/>
      <c r="K43" s="13"/>
    </row>
    <row r="44" spans="2:11" x14ac:dyDescent="0.2">
      <c r="B44" s="10" t="s">
        <v>110</v>
      </c>
      <c r="C44" s="7">
        <v>6.4</v>
      </c>
      <c r="D44" s="5">
        <v>0.95</v>
      </c>
      <c r="E44" s="5">
        <v>1.1000000000000001</v>
      </c>
      <c r="F44" s="5">
        <v>6.2</v>
      </c>
      <c r="G44" s="5">
        <v>6.9</v>
      </c>
      <c r="H44" s="25">
        <v>0.97</v>
      </c>
      <c r="I44" s="13"/>
      <c r="J44" s="13"/>
      <c r="K44" s="13"/>
    </row>
    <row r="45" spans="2:11" x14ac:dyDescent="0.2">
      <c r="B45" s="13" t="s">
        <v>112</v>
      </c>
      <c r="C45" s="32">
        <v>0.85</v>
      </c>
      <c r="D45" s="34" t="s">
        <v>113</v>
      </c>
      <c r="E45" s="35" t="s">
        <v>62</v>
      </c>
      <c r="F45" s="30">
        <v>0.8</v>
      </c>
      <c r="G45" s="31">
        <v>0.9</v>
      </c>
      <c r="H45" s="36">
        <v>3.0000000000000001E-3</v>
      </c>
      <c r="I45" s="13"/>
      <c r="J45" s="13"/>
      <c r="K45" s="13"/>
    </row>
    <row r="46" spans="2:11" x14ac:dyDescent="0.2">
      <c r="B46" s="13" t="s">
        <v>112</v>
      </c>
      <c r="C46" s="21">
        <v>0.95</v>
      </c>
      <c r="D46" s="37" t="s">
        <v>62</v>
      </c>
      <c r="E46" s="28" t="s">
        <v>63</v>
      </c>
      <c r="F46" s="6">
        <v>0.9</v>
      </c>
      <c r="G46" s="5">
        <v>1</v>
      </c>
      <c r="H46" s="38">
        <v>3.8E-3</v>
      </c>
      <c r="I46" s="13"/>
      <c r="J46" s="13"/>
      <c r="K46" s="13"/>
    </row>
    <row r="47" spans="2:11" x14ac:dyDescent="0.2">
      <c r="B47" s="13" t="s">
        <v>112</v>
      </c>
      <c r="C47" s="21">
        <v>1.05</v>
      </c>
      <c r="D47" s="37" t="s">
        <v>63</v>
      </c>
      <c r="E47" s="28">
        <v>0</v>
      </c>
      <c r="F47" s="6">
        <v>1</v>
      </c>
      <c r="G47" s="5">
        <v>1.1000000000000001</v>
      </c>
      <c r="H47" s="20">
        <v>4.7000000000000002E-3</v>
      </c>
      <c r="I47" s="13"/>
      <c r="J47" s="13"/>
      <c r="K47" s="13"/>
    </row>
    <row r="48" spans="2:11" x14ac:dyDescent="0.2">
      <c r="B48" s="13" t="s">
        <v>112</v>
      </c>
      <c r="C48" s="7">
        <v>1.1000000000000001</v>
      </c>
      <c r="D48" s="4">
        <v>0</v>
      </c>
      <c r="E48" s="4">
        <v>1</v>
      </c>
      <c r="F48" s="5">
        <v>1.1000000000000001</v>
      </c>
      <c r="G48" s="5">
        <v>1.1499999999999999</v>
      </c>
      <c r="H48" s="20">
        <v>5.7999999999999996E-3</v>
      </c>
      <c r="I48" s="13"/>
      <c r="J48" s="13"/>
      <c r="K48" s="13"/>
    </row>
    <row r="49" spans="2:11" x14ac:dyDescent="0.2">
      <c r="B49" s="13" t="s">
        <v>112</v>
      </c>
      <c r="C49" s="15">
        <v>1.2</v>
      </c>
      <c r="D49" s="16">
        <v>1</v>
      </c>
      <c r="E49" s="4">
        <v>2</v>
      </c>
      <c r="F49" s="6">
        <v>1.1499999999999999</v>
      </c>
      <c r="G49" s="5">
        <v>1.25</v>
      </c>
      <c r="H49" s="20">
        <v>7.1999999999999998E-3</v>
      </c>
      <c r="I49" s="13"/>
      <c r="J49" s="13"/>
      <c r="K49" s="13"/>
    </row>
    <row r="50" spans="2:11" x14ac:dyDescent="0.2">
      <c r="B50" s="13" t="s">
        <v>112</v>
      </c>
      <c r="C50" s="32">
        <v>1.25</v>
      </c>
      <c r="D50" s="39">
        <v>2</v>
      </c>
      <c r="E50" s="29">
        <v>2.5</v>
      </c>
      <c r="F50" s="30">
        <v>1.25</v>
      </c>
      <c r="G50" s="31">
        <v>1.3</v>
      </c>
      <c r="H50" s="40">
        <v>8.6999999999999994E-3</v>
      </c>
      <c r="I50" s="13"/>
      <c r="J50" s="13"/>
      <c r="K50" s="13"/>
    </row>
    <row r="51" spans="2:11" x14ac:dyDescent="0.2">
      <c r="B51" s="13" t="s">
        <v>112</v>
      </c>
      <c r="C51" s="32">
        <v>1.3</v>
      </c>
      <c r="D51" s="39">
        <v>2.5</v>
      </c>
      <c r="E51" s="29">
        <v>3</v>
      </c>
      <c r="F51" s="30">
        <v>1.3</v>
      </c>
      <c r="G51" s="31">
        <v>1.35</v>
      </c>
      <c r="H51" s="40">
        <v>9.7000000000000003E-3</v>
      </c>
      <c r="I51" s="13"/>
      <c r="J51" s="13"/>
      <c r="K51" s="13"/>
    </row>
    <row r="52" spans="2:11" x14ac:dyDescent="0.2">
      <c r="B52" s="13" t="s">
        <v>112</v>
      </c>
      <c r="C52" s="15">
        <v>1.3</v>
      </c>
      <c r="D52" s="16">
        <v>2</v>
      </c>
      <c r="E52" s="4">
        <v>3</v>
      </c>
      <c r="F52" s="6">
        <v>1.25</v>
      </c>
      <c r="G52" s="5">
        <v>1.35</v>
      </c>
      <c r="H52" s="20">
        <v>8.8999999999999999E-3</v>
      </c>
      <c r="I52" s="13"/>
      <c r="J52" s="13"/>
      <c r="K52" s="13"/>
    </row>
    <row r="53" spans="2:11" x14ac:dyDescent="0.2">
      <c r="B53" s="13" t="s">
        <v>112</v>
      </c>
      <c r="C53" s="33">
        <v>1.35</v>
      </c>
      <c r="D53" s="39">
        <v>3</v>
      </c>
      <c r="E53" s="29">
        <v>3.5</v>
      </c>
      <c r="F53" s="30">
        <v>1.3</v>
      </c>
      <c r="G53" s="31">
        <v>1.4</v>
      </c>
      <c r="H53" s="36">
        <v>0.01</v>
      </c>
      <c r="I53" s="13"/>
      <c r="J53" s="13"/>
      <c r="K53" s="13"/>
    </row>
    <row r="54" spans="2:11" x14ac:dyDescent="0.2">
      <c r="B54" s="13" t="s">
        <v>112</v>
      </c>
      <c r="C54" s="33">
        <v>1.4</v>
      </c>
      <c r="D54" s="41">
        <v>3.5</v>
      </c>
      <c r="E54" s="29">
        <v>4</v>
      </c>
      <c r="F54" s="30">
        <v>1.4</v>
      </c>
      <c r="G54" s="31">
        <v>1.45</v>
      </c>
      <c r="H54" s="36">
        <v>1.2E-2</v>
      </c>
      <c r="I54" s="13"/>
      <c r="J54" s="13"/>
      <c r="K54" s="13"/>
    </row>
    <row r="55" spans="2:11" x14ac:dyDescent="0.2">
      <c r="B55" s="13" t="s">
        <v>112</v>
      </c>
      <c r="C55" s="18">
        <v>1.4</v>
      </c>
      <c r="D55" s="19">
        <v>3</v>
      </c>
      <c r="E55" s="4">
        <v>4</v>
      </c>
      <c r="F55" s="5">
        <v>1.35</v>
      </c>
      <c r="G55" s="5">
        <v>1.45</v>
      </c>
      <c r="H55" s="20">
        <v>1.0999999999999999E-2</v>
      </c>
      <c r="I55" s="13"/>
      <c r="J55" s="13"/>
      <c r="K55" s="13"/>
    </row>
    <row r="56" spans="2:11" x14ac:dyDescent="0.2">
      <c r="B56" s="13" t="s">
        <v>112</v>
      </c>
      <c r="C56" s="42">
        <v>1.48</v>
      </c>
      <c r="D56" s="29">
        <v>4</v>
      </c>
      <c r="E56" s="29">
        <v>4.5</v>
      </c>
      <c r="F56" s="31">
        <v>1.45</v>
      </c>
      <c r="G56" s="31">
        <v>1.5</v>
      </c>
      <c r="H56" s="43">
        <v>1.2999999999999999E-2</v>
      </c>
      <c r="I56" s="13"/>
      <c r="J56" s="13"/>
      <c r="K56" s="13"/>
    </row>
    <row r="57" spans="2:11" x14ac:dyDescent="0.2">
      <c r="B57" s="13" t="s">
        <v>112</v>
      </c>
      <c r="C57" s="21">
        <v>1.5</v>
      </c>
      <c r="D57" s="16">
        <v>4</v>
      </c>
      <c r="E57" s="4">
        <v>5</v>
      </c>
      <c r="F57" s="6">
        <v>1.45</v>
      </c>
      <c r="G57" s="5">
        <v>1.55</v>
      </c>
      <c r="H57" s="38">
        <v>1.35E-2</v>
      </c>
      <c r="I57" s="13"/>
      <c r="J57" s="13"/>
      <c r="K57" s="13"/>
    </row>
    <row r="58" spans="2:11" x14ac:dyDescent="0.2">
      <c r="B58" s="13" t="s">
        <v>112</v>
      </c>
      <c r="C58" s="7">
        <v>1.53</v>
      </c>
      <c r="D58" s="4">
        <v>4.5</v>
      </c>
      <c r="E58" s="4">
        <v>5</v>
      </c>
      <c r="F58" s="5">
        <v>1.5</v>
      </c>
      <c r="G58" s="5">
        <v>1.55</v>
      </c>
      <c r="H58" s="20">
        <v>1.4E-2</v>
      </c>
      <c r="I58" s="13"/>
      <c r="J58" s="13"/>
      <c r="K58" s="13"/>
    </row>
    <row r="59" spans="2:11" x14ac:dyDescent="0.2">
      <c r="B59" s="13" t="s">
        <v>112</v>
      </c>
      <c r="C59" s="21">
        <v>1.55</v>
      </c>
      <c r="D59" s="16">
        <v>4.5</v>
      </c>
      <c r="E59" s="4">
        <v>5.5</v>
      </c>
      <c r="F59" s="6">
        <v>1.5</v>
      </c>
      <c r="G59" s="5">
        <v>1.6</v>
      </c>
      <c r="H59" s="38">
        <v>1.47E-2</v>
      </c>
      <c r="I59" s="13"/>
      <c r="J59" s="13"/>
      <c r="K59" s="13"/>
    </row>
    <row r="60" spans="2:11" x14ac:dyDescent="0.2">
      <c r="B60" s="13" t="s">
        <v>112</v>
      </c>
      <c r="C60" s="11">
        <v>1.58</v>
      </c>
      <c r="D60" s="3">
        <v>5</v>
      </c>
      <c r="E60" s="3">
        <v>5.5</v>
      </c>
      <c r="F60" s="2">
        <v>1.55</v>
      </c>
      <c r="G60" s="2">
        <v>1.6</v>
      </c>
      <c r="H60" s="12">
        <v>1.55E-2</v>
      </c>
      <c r="I60" s="13"/>
      <c r="J60" s="13"/>
      <c r="K60" s="13"/>
    </row>
    <row r="61" spans="2:11" x14ac:dyDescent="0.2">
      <c r="B61" s="13" t="s">
        <v>112</v>
      </c>
      <c r="C61" s="21">
        <v>1.65</v>
      </c>
      <c r="D61" s="22">
        <v>5.5</v>
      </c>
      <c r="E61" s="4">
        <v>6</v>
      </c>
      <c r="F61" s="6">
        <v>1.6</v>
      </c>
      <c r="G61" s="5">
        <v>1.7</v>
      </c>
      <c r="H61" s="20">
        <v>1.7999999999999999E-2</v>
      </c>
      <c r="I61" s="13"/>
      <c r="J61" s="13"/>
      <c r="K61" s="13"/>
    </row>
    <row r="62" spans="2:11" x14ac:dyDescent="0.2">
      <c r="B62" s="13" t="s">
        <v>112</v>
      </c>
      <c r="C62" s="21">
        <v>1.7</v>
      </c>
      <c r="D62" s="22">
        <v>5.5</v>
      </c>
      <c r="E62" s="4">
        <v>6.5</v>
      </c>
      <c r="F62" s="6">
        <v>1.6</v>
      </c>
      <c r="G62" s="5">
        <v>1.8</v>
      </c>
      <c r="H62" s="20">
        <v>1.95E-2</v>
      </c>
      <c r="I62" s="13"/>
      <c r="J62" s="13"/>
      <c r="K62" s="13"/>
    </row>
    <row r="63" spans="2:11" x14ac:dyDescent="0.2">
      <c r="B63" s="13" t="s">
        <v>112</v>
      </c>
      <c r="C63" s="21">
        <v>1.75</v>
      </c>
      <c r="D63" s="22">
        <v>6</v>
      </c>
      <c r="E63" s="4">
        <v>6.5</v>
      </c>
      <c r="F63" s="6">
        <v>1.7</v>
      </c>
      <c r="G63" s="5">
        <v>1.8</v>
      </c>
      <c r="H63" s="20">
        <v>2.1000000000000001E-2</v>
      </c>
      <c r="I63" s="13"/>
      <c r="J63" s="13"/>
      <c r="K63" s="13"/>
    </row>
    <row r="64" spans="2:11" x14ac:dyDescent="0.2">
      <c r="B64" s="13" t="s">
        <v>112</v>
      </c>
      <c r="C64" s="21">
        <v>1.85</v>
      </c>
      <c r="D64" s="22">
        <v>6.5</v>
      </c>
      <c r="E64" s="4">
        <v>7</v>
      </c>
      <c r="F64" s="6">
        <v>1.8</v>
      </c>
      <c r="G64" s="5">
        <v>1.9</v>
      </c>
      <c r="H64" s="20">
        <v>2.4500000000000001E-2</v>
      </c>
      <c r="I64" s="13"/>
      <c r="J64" s="13"/>
      <c r="K64" s="13"/>
    </row>
    <row r="65" spans="2:11" x14ac:dyDescent="0.2">
      <c r="B65" s="13" t="s">
        <v>112</v>
      </c>
      <c r="C65" s="21">
        <v>1.95</v>
      </c>
      <c r="D65" s="22">
        <v>7</v>
      </c>
      <c r="E65" s="4">
        <v>7.5</v>
      </c>
      <c r="F65" s="6">
        <v>1.9</v>
      </c>
      <c r="G65" s="5">
        <v>2</v>
      </c>
      <c r="H65" s="20">
        <v>2.9000000000000001E-2</v>
      </c>
      <c r="I65" s="13"/>
      <c r="J65" s="13"/>
      <c r="K65" s="13"/>
    </row>
    <row r="66" spans="2:11" x14ac:dyDescent="0.2">
      <c r="B66" s="13" t="s">
        <v>112</v>
      </c>
      <c r="C66" s="21">
        <v>2</v>
      </c>
      <c r="D66" s="22">
        <v>7</v>
      </c>
      <c r="E66" s="4">
        <v>8</v>
      </c>
      <c r="F66" s="6">
        <v>1.9</v>
      </c>
      <c r="G66" s="5">
        <v>2.1</v>
      </c>
      <c r="H66" s="20">
        <v>3.1E-2</v>
      </c>
      <c r="I66" s="13"/>
      <c r="J66" s="13"/>
      <c r="K66" s="13"/>
    </row>
    <row r="67" spans="2:11" x14ac:dyDescent="0.2">
      <c r="B67" s="13" t="s">
        <v>112</v>
      </c>
      <c r="C67" s="21">
        <v>2.0499999999999998</v>
      </c>
      <c r="D67" s="16">
        <v>7.5</v>
      </c>
      <c r="E67" s="4">
        <v>8</v>
      </c>
      <c r="F67" s="6">
        <v>2</v>
      </c>
      <c r="G67" s="5">
        <v>2.1</v>
      </c>
      <c r="H67" s="20">
        <v>3.3000000000000002E-2</v>
      </c>
      <c r="I67" s="13"/>
      <c r="J67" s="13"/>
      <c r="K67" s="13"/>
    </row>
    <row r="68" spans="2:11" x14ac:dyDescent="0.2">
      <c r="B68" s="13" t="s">
        <v>112</v>
      </c>
      <c r="C68" s="21">
        <v>2.15</v>
      </c>
      <c r="D68" s="22">
        <v>8</v>
      </c>
      <c r="E68" s="4">
        <v>8.5</v>
      </c>
      <c r="F68" s="6">
        <v>2.1</v>
      </c>
      <c r="G68" s="5">
        <v>2.2000000000000002</v>
      </c>
      <c r="H68" s="20">
        <v>3.9E-2</v>
      </c>
      <c r="I68" s="13"/>
      <c r="J68" s="13"/>
      <c r="K68" s="13"/>
    </row>
    <row r="69" spans="2:11" x14ac:dyDescent="0.2">
      <c r="B69" s="13" t="s">
        <v>112</v>
      </c>
      <c r="C69" s="21">
        <v>2.25</v>
      </c>
      <c r="D69" s="22">
        <v>8.5</v>
      </c>
      <c r="E69" s="4">
        <v>9</v>
      </c>
      <c r="F69" s="6">
        <v>2.2000000000000002</v>
      </c>
      <c r="G69" s="5">
        <v>2.2999999999999998</v>
      </c>
      <c r="H69" s="20">
        <v>4.3999999999999997E-2</v>
      </c>
      <c r="I69" s="13"/>
      <c r="J69" s="13"/>
      <c r="K69" s="13"/>
    </row>
    <row r="70" spans="2:11" x14ac:dyDescent="0.2">
      <c r="B70" s="13" t="s">
        <v>112</v>
      </c>
      <c r="C70" s="21">
        <v>2.2999999999999998</v>
      </c>
      <c r="D70" s="22">
        <v>8.5</v>
      </c>
      <c r="E70" s="4">
        <v>9.5</v>
      </c>
      <c r="F70" s="6">
        <v>2.2000000000000002</v>
      </c>
      <c r="G70" s="5">
        <v>2.4</v>
      </c>
      <c r="H70" s="20">
        <v>4.7500000000000001E-2</v>
      </c>
      <c r="I70" s="13"/>
      <c r="J70" s="13"/>
      <c r="K70" s="13"/>
    </row>
    <row r="71" spans="2:11" x14ac:dyDescent="0.2">
      <c r="B71" s="13" t="s">
        <v>112</v>
      </c>
      <c r="C71" s="14">
        <v>2.35</v>
      </c>
      <c r="D71" s="3">
        <v>9</v>
      </c>
      <c r="E71" s="3">
        <v>9.5</v>
      </c>
      <c r="F71" s="2">
        <v>2.2999999999999998</v>
      </c>
      <c r="G71" s="2">
        <v>2.4</v>
      </c>
      <c r="H71" s="12">
        <v>5.0999999999999997E-2</v>
      </c>
      <c r="I71" s="13"/>
      <c r="J71" s="13"/>
      <c r="K71" s="13"/>
    </row>
    <row r="72" spans="2:11" x14ac:dyDescent="0.2">
      <c r="B72" s="13" t="s">
        <v>112</v>
      </c>
      <c r="C72" s="14">
        <v>2.4500000000000002</v>
      </c>
      <c r="D72" s="3">
        <v>9.5</v>
      </c>
      <c r="E72" s="3">
        <v>10</v>
      </c>
      <c r="F72" s="2">
        <v>2.4</v>
      </c>
      <c r="G72" s="2">
        <v>2.5</v>
      </c>
      <c r="H72" s="24">
        <v>5.8000000000000003E-2</v>
      </c>
      <c r="I72" s="13"/>
      <c r="J72" s="13"/>
      <c r="K72" s="13"/>
    </row>
    <row r="73" spans="2:11" x14ac:dyDescent="0.2">
      <c r="B73" s="13" t="s">
        <v>112</v>
      </c>
      <c r="C73" s="14">
        <v>2.5</v>
      </c>
      <c r="D73" s="3">
        <v>9.5</v>
      </c>
      <c r="E73" s="3">
        <v>10.5</v>
      </c>
      <c r="F73" s="2">
        <v>2.4</v>
      </c>
      <c r="G73" s="2">
        <v>2.6</v>
      </c>
      <c r="H73" s="24">
        <v>6.0999999999999999E-2</v>
      </c>
      <c r="I73" s="13"/>
      <c r="J73" s="13"/>
      <c r="K73" s="13"/>
    </row>
    <row r="74" spans="2:11" x14ac:dyDescent="0.2">
      <c r="B74" s="13" t="s">
        <v>112</v>
      </c>
      <c r="C74" s="14">
        <v>2.5499999999999998</v>
      </c>
      <c r="D74" s="3">
        <v>10</v>
      </c>
      <c r="E74" s="3">
        <v>10.5</v>
      </c>
      <c r="F74" s="2">
        <v>2.5</v>
      </c>
      <c r="G74" s="2">
        <v>2.6</v>
      </c>
      <c r="H74" s="24">
        <v>6.4000000000000001E-2</v>
      </c>
      <c r="I74" s="13"/>
      <c r="J74" s="13"/>
      <c r="K74" s="13"/>
    </row>
    <row r="75" spans="2:11" x14ac:dyDescent="0.2">
      <c r="B75" s="13" t="s">
        <v>112</v>
      </c>
      <c r="C75" s="14">
        <v>2.65</v>
      </c>
      <c r="D75" s="3">
        <v>10.5</v>
      </c>
      <c r="E75" s="3">
        <v>11</v>
      </c>
      <c r="F75" s="2">
        <v>2.6</v>
      </c>
      <c r="G75" s="2">
        <v>2.7</v>
      </c>
      <c r="H75" s="24">
        <v>7.1999999999999995E-2</v>
      </c>
      <c r="I75" s="13"/>
      <c r="J75" s="13"/>
      <c r="K75" s="13"/>
    </row>
    <row r="76" spans="2:11" x14ac:dyDescent="0.2">
      <c r="B76" s="13" t="s">
        <v>112</v>
      </c>
      <c r="C76" s="15">
        <v>2.75</v>
      </c>
      <c r="D76" s="22">
        <v>11</v>
      </c>
      <c r="E76" s="4">
        <v>11.5</v>
      </c>
      <c r="F76" s="6">
        <v>2.7</v>
      </c>
      <c r="G76" s="5">
        <v>2.8</v>
      </c>
      <c r="H76" s="8">
        <v>0.08</v>
      </c>
      <c r="I76" s="13"/>
      <c r="J76" s="13"/>
      <c r="K76" s="13"/>
    </row>
    <row r="77" spans="2:11" x14ac:dyDescent="0.2">
      <c r="B77" s="13" t="s">
        <v>112</v>
      </c>
      <c r="C77" s="15">
        <v>2.85</v>
      </c>
      <c r="D77" s="22">
        <v>11.5</v>
      </c>
      <c r="E77" s="4">
        <v>12</v>
      </c>
      <c r="F77" s="6">
        <v>2.8</v>
      </c>
      <c r="G77" s="5">
        <v>2.9</v>
      </c>
      <c r="H77" s="8">
        <v>0.09</v>
      </c>
      <c r="I77" s="13"/>
      <c r="J77" s="13"/>
      <c r="K77" s="13"/>
    </row>
    <row r="78" spans="2:11" x14ac:dyDescent="0.2">
      <c r="B78" s="13" t="s">
        <v>112</v>
      </c>
      <c r="C78" s="15">
        <v>2.95</v>
      </c>
      <c r="D78" s="22">
        <v>12</v>
      </c>
      <c r="E78" s="4">
        <v>12.5</v>
      </c>
      <c r="F78" s="6">
        <v>2.9</v>
      </c>
      <c r="G78" s="5">
        <v>3</v>
      </c>
      <c r="H78" s="8">
        <v>0.1</v>
      </c>
      <c r="I78" s="13"/>
      <c r="J78" s="13"/>
      <c r="K78" s="13"/>
    </row>
    <row r="79" spans="2:11" x14ac:dyDescent="0.2">
      <c r="B79" s="13" t="s">
        <v>112</v>
      </c>
      <c r="C79" s="15">
        <v>3.05</v>
      </c>
      <c r="D79" s="22">
        <v>12.5</v>
      </c>
      <c r="E79" s="4">
        <v>13</v>
      </c>
      <c r="F79" s="6">
        <v>3</v>
      </c>
      <c r="G79" s="5">
        <v>3.1</v>
      </c>
      <c r="H79" s="8">
        <v>0.11</v>
      </c>
      <c r="I79" s="13"/>
      <c r="J79" s="13"/>
      <c r="K79" s="13"/>
    </row>
    <row r="80" spans="2:11" x14ac:dyDescent="0.2">
      <c r="B80" s="13" t="s">
        <v>112</v>
      </c>
      <c r="C80" s="21">
        <v>3.15</v>
      </c>
      <c r="D80" s="22">
        <v>13</v>
      </c>
      <c r="E80" s="4">
        <v>13.5</v>
      </c>
      <c r="F80" s="6">
        <v>3.1</v>
      </c>
      <c r="G80" s="5">
        <v>3.2</v>
      </c>
      <c r="H80" s="8">
        <v>0.12</v>
      </c>
      <c r="I80" s="13"/>
      <c r="J80" s="13"/>
      <c r="K80" s="13"/>
    </row>
    <row r="81" spans="2:11" x14ac:dyDescent="0.2">
      <c r="B81" s="13" t="s">
        <v>112</v>
      </c>
      <c r="C81" s="21">
        <v>3.25</v>
      </c>
      <c r="D81" s="22">
        <v>13.5</v>
      </c>
      <c r="E81" s="4">
        <v>14</v>
      </c>
      <c r="F81" s="6">
        <v>3.2</v>
      </c>
      <c r="G81" s="5">
        <v>3.3</v>
      </c>
      <c r="H81" s="8">
        <v>0.13500000000000001</v>
      </c>
      <c r="I81" s="13"/>
      <c r="J81" s="13"/>
      <c r="K81" s="13"/>
    </row>
    <row r="82" spans="2:11" x14ac:dyDescent="0.2">
      <c r="B82" s="13" t="s">
        <v>112</v>
      </c>
      <c r="C82" s="21">
        <v>3.35</v>
      </c>
      <c r="D82" s="22">
        <v>14</v>
      </c>
      <c r="E82" s="4">
        <v>14.5</v>
      </c>
      <c r="F82" s="6">
        <v>3.3</v>
      </c>
      <c r="G82" s="5">
        <v>3.4</v>
      </c>
      <c r="H82" s="8">
        <v>0.14499999999999999</v>
      </c>
      <c r="I82" s="13"/>
      <c r="J82" s="13"/>
      <c r="K82" s="13"/>
    </row>
    <row r="83" spans="2:11" x14ac:dyDescent="0.2">
      <c r="B83" s="13" t="s">
        <v>112</v>
      </c>
      <c r="C83" s="21">
        <v>3.45</v>
      </c>
      <c r="D83" s="22">
        <v>14.5</v>
      </c>
      <c r="E83" s="4">
        <v>15</v>
      </c>
      <c r="F83" s="6">
        <v>3.4</v>
      </c>
      <c r="G83" s="5">
        <v>3.5</v>
      </c>
      <c r="H83" s="8">
        <v>0.159</v>
      </c>
      <c r="I83" s="13"/>
      <c r="J83" s="13"/>
      <c r="K83" s="13"/>
    </row>
    <row r="84" spans="2:11" x14ac:dyDescent="0.2">
      <c r="B84" s="13" t="s">
        <v>112</v>
      </c>
      <c r="C84" s="7">
        <v>3.55</v>
      </c>
      <c r="D84" s="4">
        <v>15</v>
      </c>
      <c r="E84" s="4">
        <v>15.5</v>
      </c>
      <c r="F84" s="5">
        <v>3.5</v>
      </c>
      <c r="G84" s="5">
        <v>3.6</v>
      </c>
      <c r="H84" s="8">
        <v>0.16700000000000001</v>
      </c>
      <c r="I84" s="13"/>
      <c r="J84" s="13"/>
      <c r="K84" s="13"/>
    </row>
    <row r="85" spans="2:11" x14ac:dyDescent="0.2">
      <c r="B85" s="13" t="s">
        <v>112</v>
      </c>
      <c r="C85" s="42">
        <v>3.65</v>
      </c>
      <c r="D85" s="29">
        <v>15.5</v>
      </c>
      <c r="E85" s="29">
        <v>16</v>
      </c>
      <c r="F85" s="31">
        <v>3.6</v>
      </c>
      <c r="G85" s="31">
        <v>3.7</v>
      </c>
      <c r="H85" s="44">
        <v>0.17299999999999999</v>
      </c>
      <c r="I85" s="13"/>
      <c r="J85" s="13"/>
      <c r="K85" s="13"/>
    </row>
    <row r="86" spans="2:11" x14ac:dyDescent="0.2">
      <c r="B86" s="13" t="s">
        <v>112</v>
      </c>
      <c r="C86" s="7">
        <v>3.65</v>
      </c>
      <c r="D86" s="5">
        <v>0.18</v>
      </c>
      <c r="E86" s="5">
        <v>0.23</v>
      </c>
      <c r="F86" s="5">
        <v>3.5</v>
      </c>
      <c r="G86" s="5">
        <v>3.9</v>
      </c>
      <c r="H86" s="5">
        <v>0.19</v>
      </c>
      <c r="I86" s="13"/>
      <c r="J86" s="13"/>
      <c r="K86" s="13"/>
    </row>
    <row r="87" spans="2:11" x14ac:dyDescent="0.2">
      <c r="B87" s="13" t="s">
        <v>112</v>
      </c>
      <c r="C87" s="7">
        <v>3.95</v>
      </c>
      <c r="D87" s="5">
        <v>0.23</v>
      </c>
      <c r="E87" s="5">
        <v>0.28999999999999998</v>
      </c>
      <c r="F87" s="5">
        <v>3.8</v>
      </c>
      <c r="G87" s="5">
        <v>4.2</v>
      </c>
      <c r="H87" s="5">
        <v>0.24</v>
      </c>
      <c r="I87" s="13"/>
      <c r="J87" s="13"/>
      <c r="K87" s="13"/>
    </row>
    <row r="88" spans="2:11" x14ac:dyDescent="0.2">
      <c r="B88" s="13" t="s">
        <v>112</v>
      </c>
      <c r="C88" s="7">
        <v>4.1500000000000004</v>
      </c>
      <c r="D88" s="5">
        <v>0.28999999999999998</v>
      </c>
      <c r="E88" s="5">
        <v>0.35</v>
      </c>
      <c r="F88" s="5">
        <v>4</v>
      </c>
      <c r="G88" s="5">
        <v>4.5</v>
      </c>
      <c r="H88" s="5">
        <v>0.3</v>
      </c>
      <c r="I88" s="13"/>
      <c r="J88" s="13"/>
      <c r="K88" s="13"/>
    </row>
    <row r="89" spans="2:11" x14ac:dyDescent="0.2">
      <c r="B89" s="13" t="s">
        <v>112</v>
      </c>
      <c r="C89" s="7">
        <v>4.55</v>
      </c>
      <c r="D89" s="7">
        <v>0.35</v>
      </c>
      <c r="E89" s="7">
        <v>0.44</v>
      </c>
      <c r="F89" s="7">
        <v>4.4000000000000004</v>
      </c>
      <c r="G89" s="7">
        <v>4.9000000000000004</v>
      </c>
      <c r="H89" s="7">
        <v>0.36</v>
      </c>
      <c r="I89" s="13"/>
      <c r="J89" s="13"/>
      <c r="K89" s="13"/>
    </row>
    <row r="90" spans="2:11" x14ac:dyDescent="0.2">
      <c r="B90" s="13" t="s">
        <v>112</v>
      </c>
      <c r="C90" s="7">
        <v>4.5999999999999996</v>
      </c>
      <c r="D90" s="7">
        <v>0.37</v>
      </c>
      <c r="E90" s="7">
        <v>0.45</v>
      </c>
      <c r="F90" s="7">
        <v>4.4000000000000004</v>
      </c>
      <c r="G90" s="7">
        <v>4.9000000000000004</v>
      </c>
      <c r="H90" s="7">
        <v>0.38</v>
      </c>
      <c r="I90" s="13"/>
      <c r="J90" s="13"/>
      <c r="K90" s="13"/>
    </row>
    <row r="91" spans="2:11" x14ac:dyDescent="0.2">
      <c r="B91" s="13" t="s">
        <v>112</v>
      </c>
      <c r="C91" s="7">
        <v>4.8499999999999996</v>
      </c>
      <c r="D91" s="5">
        <v>0.45</v>
      </c>
      <c r="E91" s="5">
        <v>0.57999999999999996</v>
      </c>
      <c r="F91" s="5">
        <v>4.7</v>
      </c>
      <c r="G91" s="5">
        <v>5.4</v>
      </c>
      <c r="H91" s="5">
        <v>0.46</v>
      </c>
      <c r="I91" s="13"/>
      <c r="J91" s="13"/>
      <c r="K91" s="13"/>
    </row>
    <row r="92" spans="2:11" x14ac:dyDescent="0.2">
      <c r="B92" s="13" t="s">
        <v>112</v>
      </c>
      <c r="C92" s="2">
        <v>5.0999999999999996</v>
      </c>
      <c r="D92" s="2">
        <v>0.5</v>
      </c>
      <c r="E92" s="2">
        <v>0.57999999999999996</v>
      </c>
      <c r="F92" s="2">
        <v>4.9000000000000004</v>
      </c>
      <c r="G92" s="2">
        <v>5.5</v>
      </c>
      <c r="H92" s="2">
        <v>0.52</v>
      </c>
      <c r="I92" s="13"/>
      <c r="J92" s="13"/>
      <c r="K92" s="13"/>
    </row>
    <row r="93" spans="2:11" x14ac:dyDescent="0.2">
      <c r="B93" s="13" t="s">
        <v>112</v>
      </c>
      <c r="C93" s="7">
        <v>5.35</v>
      </c>
      <c r="D93" s="5">
        <v>0.59</v>
      </c>
      <c r="E93" s="5">
        <v>0.68</v>
      </c>
      <c r="F93" s="5">
        <v>5.2</v>
      </c>
      <c r="G93" s="5">
        <v>5.6</v>
      </c>
      <c r="H93" s="5">
        <v>0.6</v>
      </c>
      <c r="I93" s="13"/>
      <c r="J93" s="13"/>
      <c r="K93" s="13"/>
    </row>
    <row r="94" spans="2:11" x14ac:dyDescent="0.2">
      <c r="B94" s="13" t="s">
        <v>112</v>
      </c>
      <c r="C94" s="7">
        <v>5.55</v>
      </c>
      <c r="D94" s="5">
        <v>0.69</v>
      </c>
      <c r="E94" s="5">
        <v>0.84</v>
      </c>
      <c r="F94" s="5">
        <v>5.4</v>
      </c>
      <c r="G94" s="5">
        <v>5.8</v>
      </c>
      <c r="H94" s="5">
        <v>0.71</v>
      </c>
      <c r="I94" s="13"/>
      <c r="J94" s="13"/>
      <c r="K94" s="13"/>
    </row>
    <row r="95" spans="2:11" x14ac:dyDescent="0.2">
      <c r="B95" s="13" t="s">
        <v>112</v>
      </c>
      <c r="C95" s="7">
        <v>6</v>
      </c>
      <c r="D95" s="5">
        <v>0.95</v>
      </c>
      <c r="E95" s="5">
        <v>1.1000000000000001</v>
      </c>
      <c r="F95" s="5">
        <v>5.8</v>
      </c>
      <c r="G95" s="5">
        <v>6.4</v>
      </c>
      <c r="H95" s="5">
        <v>0.97</v>
      </c>
      <c r="I95" s="13"/>
      <c r="J95" s="13"/>
      <c r="K95" s="13"/>
    </row>
    <row r="96" spans="2:11" x14ac:dyDescent="0.2">
      <c r="B96" s="13" t="s">
        <v>112</v>
      </c>
      <c r="C96" s="7">
        <v>6.7</v>
      </c>
      <c r="D96" s="5">
        <v>1.2</v>
      </c>
      <c r="E96" s="5">
        <v>1.3</v>
      </c>
      <c r="F96" s="5">
        <v>6.5</v>
      </c>
      <c r="G96" s="5">
        <v>7</v>
      </c>
      <c r="H96" s="5">
        <v>1.23</v>
      </c>
      <c r="I96" s="13"/>
      <c r="J96" s="13"/>
      <c r="K96" s="13"/>
    </row>
    <row r="97" spans="2:11" x14ac:dyDescent="0.2">
      <c r="B97" s="13" t="s">
        <v>112</v>
      </c>
      <c r="C97" s="7">
        <v>7.2</v>
      </c>
      <c r="D97" s="5">
        <v>1.45</v>
      </c>
      <c r="E97" s="5">
        <v>1.55</v>
      </c>
      <c r="F97" s="5">
        <v>7</v>
      </c>
      <c r="G97" s="5">
        <v>7.4</v>
      </c>
      <c r="H97" s="5">
        <v>1.48</v>
      </c>
      <c r="I97" s="13"/>
      <c r="J97" s="13"/>
      <c r="K97" s="13"/>
    </row>
    <row r="98" spans="2:11" x14ac:dyDescent="0.2">
      <c r="B98" s="13" t="s">
        <v>112</v>
      </c>
      <c r="C98" s="7">
        <v>7.7</v>
      </c>
      <c r="D98" s="5">
        <v>1.95</v>
      </c>
      <c r="E98" s="5">
        <v>2.1</v>
      </c>
      <c r="F98" s="5">
        <v>7.5</v>
      </c>
      <c r="G98" s="5">
        <v>8</v>
      </c>
      <c r="H98" s="5">
        <v>2</v>
      </c>
      <c r="I98" s="13"/>
      <c r="J98" s="13"/>
      <c r="K98" s="13"/>
    </row>
    <row r="99" spans="2:11" x14ac:dyDescent="0.2">
      <c r="B99" s="13" t="s">
        <v>112</v>
      </c>
      <c r="C99" s="7">
        <v>8.1999999999999993</v>
      </c>
      <c r="D99" s="5">
        <v>2.2000000000000002</v>
      </c>
      <c r="E99" s="5">
        <v>2.2999999999999998</v>
      </c>
      <c r="F99" s="5">
        <v>8</v>
      </c>
      <c r="G99" s="5">
        <v>8.6</v>
      </c>
      <c r="H99" s="5">
        <v>2.23</v>
      </c>
      <c r="I99" s="13"/>
      <c r="J99" s="13"/>
      <c r="K99" s="13"/>
    </row>
    <row r="100" spans="2:11" x14ac:dyDescent="0.2">
      <c r="B100" s="13" t="s">
        <v>112</v>
      </c>
      <c r="C100" s="7">
        <v>8.8000000000000007</v>
      </c>
      <c r="D100" s="5">
        <v>2.4500000000000002</v>
      </c>
      <c r="E100" s="5">
        <v>2.5499999999999998</v>
      </c>
      <c r="F100" s="5">
        <v>8.6</v>
      </c>
      <c r="G100" s="5">
        <v>9.1</v>
      </c>
      <c r="H100" s="5">
        <v>2.5</v>
      </c>
      <c r="I100" s="13"/>
      <c r="J100" s="13"/>
      <c r="K100" s="13"/>
    </row>
    <row r="101" spans="2:11" ht="18" customHeight="1" x14ac:dyDescent="0.2">
      <c r="B101" s="13" t="s">
        <v>112</v>
      </c>
      <c r="C101" s="7">
        <v>9.3000000000000007</v>
      </c>
      <c r="D101" s="5">
        <v>2.95</v>
      </c>
      <c r="E101" s="5">
        <v>3.1</v>
      </c>
      <c r="F101" s="5">
        <v>9.1</v>
      </c>
      <c r="G101" s="5">
        <v>9.5</v>
      </c>
      <c r="H101" s="5">
        <v>2.98</v>
      </c>
      <c r="I101" s="13"/>
      <c r="J101" s="13"/>
      <c r="K101" s="13"/>
    </row>
    <row r="102" spans="2:11" ht="18" customHeight="1" x14ac:dyDescent="0.2">
      <c r="B102" s="63" t="s">
        <v>121</v>
      </c>
      <c r="C102" s="64"/>
      <c r="D102" s="8">
        <v>3.5000000000000003E-2</v>
      </c>
      <c r="E102" s="8">
        <v>0.06</v>
      </c>
      <c r="F102" s="13"/>
      <c r="G102" s="13"/>
      <c r="H102" s="65">
        <v>0.05</v>
      </c>
      <c r="I102" s="13"/>
      <c r="J102" s="13"/>
      <c r="K102" s="13"/>
    </row>
    <row r="103" spans="2:11" ht="18" customHeight="1" x14ac:dyDescent="0.2">
      <c r="B103" s="63" t="s">
        <v>121</v>
      </c>
      <c r="C103" s="64"/>
      <c r="D103" s="8">
        <v>0.06</v>
      </c>
      <c r="E103" s="8">
        <v>0.09</v>
      </c>
      <c r="F103" s="13"/>
      <c r="G103" s="13"/>
      <c r="H103" s="8">
        <v>7.4999999999999997E-2</v>
      </c>
      <c r="I103" s="13"/>
      <c r="J103" s="13"/>
      <c r="K103" s="13"/>
    </row>
    <row r="104" spans="2:11" ht="18" customHeight="1" x14ac:dyDescent="0.2">
      <c r="B104" s="63" t="s">
        <v>121</v>
      </c>
      <c r="C104" s="64"/>
      <c r="D104" s="8">
        <v>0.08</v>
      </c>
      <c r="E104" s="8">
        <v>0.115</v>
      </c>
      <c r="F104" s="13"/>
      <c r="G104" s="13"/>
      <c r="H104" s="65">
        <v>9.5000000000000001E-2</v>
      </c>
      <c r="I104" s="13"/>
      <c r="J104" s="13"/>
      <c r="K104" s="13"/>
    </row>
    <row r="105" spans="2:11" ht="18" customHeight="1" x14ac:dyDescent="0.2">
      <c r="B105" s="63" t="s">
        <v>121</v>
      </c>
      <c r="C105" s="64"/>
      <c r="D105" s="8">
        <v>0.115</v>
      </c>
      <c r="E105" s="8">
        <v>0.13500000000000001</v>
      </c>
      <c r="F105" s="13"/>
      <c r="G105" s="13"/>
      <c r="H105" s="65">
        <v>0.125</v>
      </c>
      <c r="I105" s="13"/>
      <c r="J105" s="13"/>
      <c r="K105" s="13"/>
    </row>
    <row r="106" spans="2:11" ht="18" customHeight="1" x14ac:dyDescent="0.2">
      <c r="B106" s="63" t="s">
        <v>121</v>
      </c>
      <c r="C106" s="64"/>
      <c r="D106" s="8">
        <v>0.13</v>
      </c>
      <c r="E106" s="8">
        <v>0.17</v>
      </c>
      <c r="F106" s="13"/>
      <c r="G106" s="13"/>
      <c r="H106" s="5">
        <v>0.15</v>
      </c>
      <c r="I106" s="13"/>
      <c r="J106" s="13"/>
      <c r="K106" s="13"/>
    </row>
    <row r="107" spans="2:11" ht="18" customHeight="1" x14ac:dyDescent="0.2">
      <c r="B107" s="63" t="s">
        <v>121</v>
      </c>
      <c r="C107" s="26" t="s">
        <v>64</v>
      </c>
      <c r="D107" s="5">
        <v>0.18</v>
      </c>
      <c r="E107" s="5">
        <v>0.22</v>
      </c>
      <c r="F107" s="13"/>
      <c r="G107" s="13"/>
      <c r="H107" s="6">
        <v>0.19</v>
      </c>
      <c r="I107" s="13"/>
      <c r="J107" s="13"/>
      <c r="K107" s="13"/>
    </row>
    <row r="108" spans="2:11" ht="18" customHeight="1" x14ac:dyDescent="0.2">
      <c r="B108" s="63" t="s">
        <v>121</v>
      </c>
      <c r="C108" s="26" t="s">
        <v>65</v>
      </c>
      <c r="D108" s="5">
        <v>0.23</v>
      </c>
      <c r="E108" s="5">
        <v>0.28000000000000003</v>
      </c>
      <c r="F108" s="13"/>
      <c r="G108" s="13"/>
      <c r="H108" s="6">
        <v>0.24</v>
      </c>
      <c r="I108" s="13"/>
      <c r="J108" s="13"/>
      <c r="K108" s="13"/>
    </row>
    <row r="109" spans="2:11" ht="18" customHeight="1" x14ac:dyDescent="0.2">
      <c r="B109" s="63" t="s">
        <v>121</v>
      </c>
      <c r="C109" s="26" t="s">
        <v>67</v>
      </c>
      <c r="D109" s="5">
        <v>0.28999999999999998</v>
      </c>
      <c r="E109" s="5">
        <v>0.35</v>
      </c>
      <c r="F109" s="13"/>
      <c r="G109" s="13"/>
      <c r="H109" s="6">
        <v>0.3</v>
      </c>
      <c r="I109" s="13"/>
      <c r="J109" s="13"/>
      <c r="K109" s="13"/>
    </row>
    <row r="110" spans="2:11" ht="18" customHeight="1" x14ac:dyDescent="0.2">
      <c r="B110" s="63" t="s">
        <v>121</v>
      </c>
      <c r="C110" s="26" t="s">
        <v>69</v>
      </c>
      <c r="D110" s="7">
        <v>0.35</v>
      </c>
      <c r="E110" s="7">
        <v>0.44</v>
      </c>
      <c r="F110" s="13"/>
      <c r="G110" s="13"/>
      <c r="H110" s="21">
        <v>0.36</v>
      </c>
      <c r="I110" s="13"/>
      <c r="J110" s="13"/>
      <c r="K110" s="13"/>
    </row>
    <row r="111" spans="2:11" ht="18" customHeight="1" x14ac:dyDescent="0.2">
      <c r="B111" s="63" t="s">
        <v>121</v>
      </c>
      <c r="C111" s="26" t="s">
        <v>69</v>
      </c>
      <c r="D111" s="7">
        <v>0.37</v>
      </c>
      <c r="E111" s="7">
        <v>0.45</v>
      </c>
      <c r="F111" s="13"/>
      <c r="G111" s="13"/>
      <c r="H111" s="21">
        <v>0.38</v>
      </c>
      <c r="I111" s="13"/>
      <c r="J111" s="13"/>
      <c r="K111" s="13"/>
    </row>
    <row r="112" spans="2:11" ht="18" customHeight="1" x14ac:dyDescent="0.2">
      <c r="B112" s="63" t="s">
        <v>121</v>
      </c>
      <c r="C112" s="26" t="s">
        <v>71</v>
      </c>
      <c r="D112" s="5">
        <v>0.45</v>
      </c>
      <c r="E112" s="5">
        <v>0.57999999999999996</v>
      </c>
      <c r="F112" s="13"/>
      <c r="G112" s="13"/>
      <c r="H112" s="6">
        <v>0.46</v>
      </c>
      <c r="I112" s="13"/>
      <c r="J112" s="13"/>
      <c r="K112" s="13"/>
    </row>
    <row r="113" spans="2:11" ht="18" customHeight="1" x14ac:dyDescent="0.2">
      <c r="B113" s="63" t="s">
        <v>121</v>
      </c>
      <c r="C113" s="26" t="s">
        <v>73</v>
      </c>
      <c r="D113" s="5">
        <v>0.57999999999999996</v>
      </c>
      <c r="E113" s="5">
        <v>0.68</v>
      </c>
      <c r="F113" s="13"/>
      <c r="G113" s="13"/>
      <c r="H113" s="6">
        <v>0.6</v>
      </c>
      <c r="I113" s="13"/>
      <c r="J113" s="13"/>
      <c r="K113" s="13"/>
    </row>
    <row r="114" spans="2:11" ht="15.75" customHeight="1" x14ac:dyDescent="0.2">
      <c r="B114" s="63" t="s">
        <v>121</v>
      </c>
      <c r="C114" s="26" t="s">
        <v>74</v>
      </c>
      <c r="D114" s="5">
        <v>0.69</v>
      </c>
      <c r="E114" s="5">
        <v>0.84</v>
      </c>
      <c r="F114" s="13"/>
      <c r="G114" s="13"/>
      <c r="H114" s="6">
        <v>0.71</v>
      </c>
      <c r="I114" s="13"/>
      <c r="J114" s="13"/>
      <c r="K114" s="13"/>
    </row>
    <row r="115" spans="2:11" ht="15.75" customHeight="1" x14ac:dyDescent="0.2">
      <c r="B115" s="68" t="s">
        <v>121</v>
      </c>
      <c r="C115" s="69" t="s">
        <v>76</v>
      </c>
      <c r="D115" s="70">
        <v>0.95</v>
      </c>
      <c r="E115" s="70">
        <v>1.1000000000000001</v>
      </c>
      <c r="F115" s="68"/>
      <c r="G115" s="68"/>
      <c r="H115" s="71">
        <v>0.97</v>
      </c>
      <c r="I115" s="68"/>
      <c r="J115" s="68"/>
      <c r="K115" s="68"/>
    </row>
    <row r="116" spans="2:11" ht="15.75" customHeight="1" x14ac:dyDescent="0.2">
      <c r="B116" s="68" t="s">
        <v>122</v>
      </c>
      <c r="C116" s="72"/>
      <c r="D116" s="73">
        <v>3.5000000000000003E-2</v>
      </c>
      <c r="E116" s="73">
        <v>0.06</v>
      </c>
      <c r="F116" s="68"/>
      <c r="G116" s="68"/>
      <c r="H116" s="74">
        <v>0.05</v>
      </c>
      <c r="I116" s="68"/>
      <c r="J116" s="68"/>
      <c r="K116" s="68"/>
    </row>
    <row r="117" spans="2:11" ht="15.75" customHeight="1" x14ac:dyDescent="0.2">
      <c r="B117" s="68" t="s">
        <v>122</v>
      </c>
      <c r="C117" s="72"/>
      <c r="D117" s="73">
        <v>0.06</v>
      </c>
      <c r="E117" s="73">
        <v>0.09</v>
      </c>
      <c r="F117" s="68"/>
      <c r="G117" s="68"/>
      <c r="H117" s="73">
        <v>7.4999999999999997E-2</v>
      </c>
      <c r="I117" s="68"/>
      <c r="J117" s="68"/>
      <c r="K117" s="68"/>
    </row>
    <row r="118" spans="2:11" ht="15.75" customHeight="1" x14ac:dyDescent="0.2">
      <c r="B118" s="68" t="s">
        <v>122</v>
      </c>
      <c r="C118" s="72"/>
      <c r="D118" s="73">
        <v>0.08</v>
      </c>
      <c r="E118" s="73">
        <v>0.115</v>
      </c>
      <c r="F118" s="68"/>
      <c r="G118" s="68"/>
      <c r="H118" s="74">
        <v>9.5000000000000001E-2</v>
      </c>
      <c r="I118" s="68"/>
      <c r="J118" s="68"/>
      <c r="K118" s="68"/>
    </row>
    <row r="119" spans="2:11" ht="15.75" customHeight="1" x14ac:dyDescent="0.2">
      <c r="B119" s="68" t="s">
        <v>122</v>
      </c>
      <c r="C119" s="72"/>
      <c r="D119" s="73">
        <v>0.115</v>
      </c>
      <c r="E119" s="73">
        <v>0.13500000000000001</v>
      </c>
      <c r="F119" s="68"/>
      <c r="G119" s="68"/>
      <c r="H119" s="73">
        <v>0.125</v>
      </c>
      <c r="I119" s="68"/>
      <c r="J119" s="68"/>
      <c r="K119" s="68"/>
    </row>
    <row r="120" spans="2:11" ht="15.75" customHeight="1" x14ac:dyDescent="0.2">
      <c r="B120" s="68" t="s">
        <v>122</v>
      </c>
      <c r="C120" s="72"/>
      <c r="D120" s="73">
        <v>0.13</v>
      </c>
      <c r="E120" s="73">
        <v>0.17</v>
      </c>
      <c r="F120" s="68"/>
      <c r="G120" s="68"/>
      <c r="H120" s="70">
        <v>0.15</v>
      </c>
      <c r="I120" s="68"/>
      <c r="J120" s="68"/>
      <c r="K120" s="68"/>
    </row>
    <row r="121" spans="2:11" ht="15.75" customHeight="1" x14ac:dyDescent="0.2">
      <c r="B121" s="68" t="s">
        <v>122</v>
      </c>
      <c r="C121" s="75"/>
      <c r="D121" s="70">
        <v>0.18</v>
      </c>
      <c r="E121" s="70">
        <v>0.22</v>
      </c>
      <c r="F121" s="68"/>
      <c r="G121" s="68"/>
      <c r="H121" s="71">
        <v>0.19</v>
      </c>
      <c r="I121" s="68"/>
      <c r="J121" s="68"/>
      <c r="K121" s="68"/>
    </row>
    <row r="122" spans="2:11" ht="15.75" customHeight="1" x14ac:dyDescent="0.2">
      <c r="B122" s="68" t="s">
        <v>122</v>
      </c>
      <c r="C122" s="75" t="s">
        <v>66</v>
      </c>
      <c r="D122" s="70">
        <v>0.23</v>
      </c>
      <c r="E122" s="70">
        <v>0.28000000000000003</v>
      </c>
      <c r="F122" s="68"/>
      <c r="G122" s="68"/>
      <c r="H122" s="71">
        <v>0.24</v>
      </c>
      <c r="I122" s="68"/>
      <c r="J122" s="68"/>
      <c r="K122" s="68"/>
    </row>
    <row r="123" spans="2:11" ht="15.75" customHeight="1" x14ac:dyDescent="0.2">
      <c r="B123" s="68" t="s">
        <v>122</v>
      </c>
      <c r="C123" s="75" t="s">
        <v>68</v>
      </c>
      <c r="D123" s="70">
        <v>0.28999999999999998</v>
      </c>
      <c r="E123" s="70">
        <v>0.35</v>
      </c>
      <c r="F123" s="68"/>
      <c r="G123" s="68"/>
      <c r="H123" s="71">
        <v>0.3</v>
      </c>
      <c r="I123" s="68"/>
      <c r="J123" s="68"/>
      <c r="K123" s="68"/>
    </row>
    <row r="124" spans="2:11" ht="15.75" customHeight="1" x14ac:dyDescent="0.2">
      <c r="B124" s="68" t="s">
        <v>122</v>
      </c>
      <c r="C124" s="75" t="s">
        <v>70</v>
      </c>
      <c r="D124" s="76">
        <v>0.35</v>
      </c>
      <c r="E124" s="76">
        <v>0.44</v>
      </c>
      <c r="F124" s="68"/>
      <c r="G124" s="68"/>
      <c r="H124" s="77">
        <v>0.36</v>
      </c>
      <c r="I124" s="68"/>
      <c r="J124" s="68"/>
      <c r="K124" s="68"/>
    </row>
    <row r="125" spans="2:11" ht="15.75" customHeight="1" x14ac:dyDescent="0.2">
      <c r="B125" s="68" t="s">
        <v>122</v>
      </c>
      <c r="C125" s="75" t="s">
        <v>70</v>
      </c>
      <c r="D125" s="76">
        <v>0.37</v>
      </c>
      <c r="E125" s="76">
        <v>0.45</v>
      </c>
      <c r="F125" s="68"/>
      <c r="G125" s="68"/>
      <c r="H125" s="77">
        <v>0.38</v>
      </c>
      <c r="I125" s="68"/>
      <c r="J125" s="68"/>
      <c r="K125" s="68"/>
    </row>
    <row r="126" spans="2:11" ht="15.75" customHeight="1" x14ac:dyDescent="0.2">
      <c r="B126" s="68" t="s">
        <v>122</v>
      </c>
      <c r="C126" s="75" t="s">
        <v>72</v>
      </c>
      <c r="D126" s="70">
        <v>0.45</v>
      </c>
      <c r="E126" s="70">
        <v>0.57999999999999996</v>
      </c>
      <c r="F126" s="68"/>
      <c r="G126" s="68"/>
      <c r="H126" s="71">
        <v>0.46</v>
      </c>
      <c r="I126" s="68"/>
      <c r="J126" s="68"/>
      <c r="K126" s="68"/>
    </row>
    <row r="127" spans="2:11" ht="15.75" customHeight="1" x14ac:dyDescent="0.2">
      <c r="B127" s="68" t="s">
        <v>122</v>
      </c>
      <c r="C127" s="75"/>
      <c r="D127" s="70">
        <v>0.57999999999999996</v>
      </c>
      <c r="E127" s="70">
        <v>0.68</v>
      </c>
      <c r="F127" s="68"/>
      <c r="G127" s="68"/>
      <c r="H127" s="71">
        <v>0.6</v>
      </c>
      <c r="I127" s="68"/>
      <c r="J127" s="68"/>
      <c r="K127" s="68"/>
    </row>
    <row r="128" spans="2:11" ht="15.75" customHeight="1" x14ac:dyDescent="0.2">
      <c r="B128" s="68" t="s">
        <v>122</v>
      </c>
      <c r="C128" s="75" t="s">
        <v>75</v>
      </c>
      <c r="D128" s="70">
        <v>0.69</v>
      </c>
      <c r="E128" s="70">
        <v>0.84</v>
      </c>
      <c r="F128" s="68"/>
      <c r="G128" s="68"/>
      <c r="H128" s="71">
        <v>0.71</v>
      </c>
      <c r="I128" s="68"/>
      <c r="J128" s="68"/>
      <c r="K128" s="68"/>
    </row>
    <row r="129" spans="2:11" ht="15.75" customHeight="1" x14ac:dyDescent="0.2">
      <c r="B129" s="63" t="s">
        <v>122</v>
      </c>
      <c r="C129" s="66" t="s">
        <v>77</v>
      </c>
      <c r="D129" s="5">
        <v>0.95</v>
      </c>
      <c r="E129" s="5">
        <v>1.1000000000000001</v>
      </c>
      <c r="F129" s="63"/>
      <c r="G129" s="63"/>
      <c r="H129" s="6">
        <v>0.97</v>
      </c>
      <c r="I129" s="63"/>
      <c r="J129" s="63"/>
      <c r="K129" s="63"/>
    </row>
    <row r="130" spans="2:11" x14ac:dyDescent="0.2">
      <c r="B130" s="63" t="s">
        <v>123</v>
      </c>
      <c r="C130" s="64"/>
      <c r="D130" s="8">
        <v>3.5000000000000003E-2</v>
      </c>
      <c r="E130" s="8">
        <v>0.06</v>
      </c>
      <c r="F130" s="67"/>
      <c r="G130" s="67"/>
      <c r="H130" s="65">
        <v>0.05</v>
      </c>
      <c r="I130" s="67"/>
      <c r="J130" s="67"/>
      <c r="K130" s="67"/>
    </row>
    <row r="131" spans="2:11" x14ac:dyDescent="0.2">
      <c r="B131" s="63" t="s">
        <v>123</v>
      </c>
      <c r="C131" s="64"/>
      <c r="D131" s="8">
        <v>0.06</v>
      </c>
      <c r="E131" s="8">
        <v>0.09</v>
      </c>
      <c r="F131" s="67"/>
      <c r="G131" s="67"/>
      <c r="H131" s="8">
        <v>7.4999999999999997E-2</v>
      </c>
      <c r="I131" s="67"/>
      <c r="J131" s="67"/>
      <c r="K131" s="67"/>
    </row>
    <row r="132" spans="2:11" x14ac:dyDescent="0.2">
      <c r="B132" s="63" t="s">
        <v>123</v>
      </c>
      <c r="C132" s="64"/>
      <c r="D132" s="8">
        <v>0.08</v>
      </c>
      <c r="E132" s="8">
        <v>0.115</v>
      </c>
      <c r="F132" s="67"/>
      <c r="G132" s="67"/>
      <c r="H132" s="65">
        <v>9.5000000000000001E-2</v>
      </c>
      <c r="I132" s="67"/>
      <c r="J132" s="67"/>
      <c r="K132" s="67"/>
    </row>
    <row r="133" spans="2:11" x14ac:dyDescent="0.2">
      <c r="B133" s="63" t="s">
        <v>123</v>
      </c>
      <c r="C133" s="64"/>
      <c r="D133" s="8">
        <v>0.115</v>
      </c>
      <c r="E133" s="8">
        <v>0.13500000000000001</v>
      </c>
      <c r="F133" s="67"/>
      <c r="G133" s="67"/>
      <c r="H133" s="8">
        <v>0.125</v>
      </c>
      <c r="I133" s="67"/>
      <c r="J133" s="67"/>
      <c r="K133" s="67"/>
    </row>
    <row r="134" spans="2:11" x14ac:dyDescent="0.2">
      <c r="B134" s="63" t="s">
        <v>123</v>
      </c>
      <c r="C134" s="64"/>
      <c r="D134" s="8">
        <v>0.13</v>
      </c>
      <c r="E134" s="8">
        <v>0.17</v>
      </c>
      <c r="F134" s="67"/>
      <c r="G134" s="67"/>
      <c r="H134" s="5">
        <v>0.15</v>
      </c>
      <c r="I134" s="67"/>
      <c r="J134" s="67"/>
      <c r="K134" s="67"/>
    </row>
    <row r="135" spans="2:11" x14ac:dyDescent="0.2">
      <c r="B135" s="63" t="s">
        <v>123</v>
      </c>
      <c r="C135" s="66" t="s">
        <v>78</v>
      </c>
      <c r="D135" s="5">
        <v>0.18</v>
      </c>
      <c r="E135" s="5">
        <v>0.22</v>
      </c>
      <c r="F135" s="67"/>
      <c r="G135" s="67"/>
      <c r="H135" s="6">
        <v>0.19</v>
      </c>
      <c r="I135" s="67"/>
      <c r="J135" s="67"/>
      <c r="K135" s="67"/>
    </row>
    <row r="136" spans="2:11" x14ac:dyDescent="0.2">
      <c r="B136" s="63" t="s">
        <v>123</v>
      </c>
      <c r="C136" s="66" t="s">
        <v>79</v>
      </c>
      <c r="D136" s="5">
        <v>0.23</v>
      </c>
      <c r="E136" s="5">
        <v>0.28000000000000003</v>
      </c>
      <c r="F136" s="67"/>
      <c r="G136" s="67"/>
      <c r="H136" s="6">
        <v>0.24</v>
      </c>
      <c r="I136" s="67"/>
      <c r="J136" s="67"/>
      <c r="K136" s="67"/>
    </row>
    <row r="137" spans="2:11" x14ac:dyDescent="0.2">
      <c r="B137" s="63" t="s">
        <v>123</v>
      </c>
      <c r="C137" s="66" t="s">
        <v>80</v>
      </c>
      <c r="D137" s="5">
        <v>0.28999999999999998</v>
      </c>
      <c r="E137" s="5">
        <v>0.35</v>
      </c>
      <c r="F137" s="67"/>
      <c r="G137" s="67"/>
      <c r="H137" s="6">
        <v>0.3</v>
      </c>
      <c r="I137" s="67"/>
      <c r="J137" s="67"/>
      <c r="K137" s="67"/>
    </row>
    <row r="138" spans="2:11" x14ac:dyDescent="0.2">
      <c r="B138" s="63" t="s">
        <v>123</v>
      </c>
      <c r="C138" s="66" t="s">
        <v>81</v>
      </c>
      <c r="D138" s="7">
        <v>0.35</v>
      </c>
      <c r="E138" s="7">
        <v>0.44</v>
      </c>
      <c r="F138" s="67"/>
      <c r="G138" s="67"/>
      <c r="H138" s="21">
        <v>0.36</v>
      </c>
      <c r="I138" s="67"/>
      <c r="J138" s="67"/>
      <c r="K138" s="67"/>
    </row>
    <row r="139" spans="2:11" x14ac:dyDescent="0.2">
      <c r="B139" s="63" t="s">
        <v>123</v>
      </c>
      <c r="C139" s="66" t="s">
        <v>81</v>
      </c>
      <c r="D139" s="7">
        <v>0.37</v>
      </c>
      <c r="E139" s="7">
        <v>0.45</v>
      </c>
      <c r="F139" s="67"/>
      <c r="G139" s="67"/>
      <c r="H139" s="21">
        <v>0.38</v>
      </c>
      <c r="I139" s="67"/>
      <c r="J139" s="67"/>
      <c r="K139" s="67"/>
    </row>
    <row r="140" spans="2:11" x14ac:dyDescent="0.2">
      <c r="B140" s="63" t="s">
        <v>123</v>
      </c>
      <c r="C140" s="66" t="s">
        <v>82</v>
      </c>
      <c r="D140" s="5">
        <v>0.45</v>
      </c>
      <c r="E140" s="5">
        <v>0.57999999999999996</v>
      </c>
      <c r="F140" s="67"/>
      <c r="G140" s="67"/>
      <c r="H140" s="6">
        <v>0.46</v>
      </c>
      <c r="I140" s="67"/>
      <c r="J140" s="67"/>
      <c r="K140" s="67"/>
    </row>
    <row r="141" spans="2:11" x14ac:dyDescent="0.2">
      <c r="B141" s="63" t="s">
        <v>123</v>
      </c>
      <c r="C141" s="66" t="s">
        <v>83</v>
      </c>
      <c r="D141" s="5">
        <v>0.57999999999999996</v>
      </c>
      <c r="E141" s="5">
        <v>0.68</v>
      </c>
      <c r="F141" s="67"/>
      <c r="G141" s="67"/>
      <c r="H141" s="6">
        <v>0.6</v>
      </c>
      <c r="I141" s="67"/>
      <c r="J141" s="67"/>
      <c r="K141" s="67"/>
    </row>
    <row r="142" spans="2:11" x14ac:dyDescent="0.2">
      <c r="B142" s="63" t="s">
        <v>123</v>
      </c>
      <c r="C142" s="66" t="s">
        <v>84</v>
      </c>
      <c r="D142" s="5">
        <v>0.69</v>
      </c>
      <c r="E142" s="5">
        <v>0.84</v>
      </c>
      <c r="F142" s="67"/>
      <c r="G142" s="67"/>
      <c r="H142" s="6">
        <v>0.71</v>
      </c>
      <c r="I142" s="67"/>
      <c r="J142" s="67"/>
      <c r="K142" s="67"/>
    </row>
    <row r="143" spans="2:11" x14ac:dyDescent="0.2">
      <c r="B143" s="63" t="s">
        <v>123</v>
      </c>
      <c r="C143" s="66" t="s">
        <v>85</v>
      </c>
      <c r="D143" s="5">
        <v>0.95</v>
      </c>
      <c r="E143" s="5">
        <v>1.1000000000000001</v>
      </c>
      <c r="F143" s="63"/>
      <c r="G143" s="63"/>
      <c r="H143" s="6">
        <v>0.97</v>
      </c>
      <c r="I143" s="63"/>
      <c r="J143" s="63"/>
      <c r="K143" s="63"/>
    </row>
    <row r="144" spans="2:11" x14ac:dyDescent="0.2">
      <c r="B144" s="63" t="s">
        <v>124</v>
      </c>
      <c r="C144" s="7"/>
      <c r="D144" s="8">
        <v>4.4999999999999998E-2</v>
      </c>
      <c r="E144" s="8">
        <v>0.08</v>
      </c>
      <c r="F144" s="63"/>
      <c r="G144" s="63"/>
      <c r="H144" s="65">
        <v>0.06</v>
      </c>
      <c r="I144" s="63"/>
      <c r="J144" s="63"/>
      <c r="K144" s="63"/>
    </row>
    <row r="145" spans="2:11" x14ac:dyDescent="0.2">
      <c r="B145" s="63" t="s">
        <v>124</v>
      </c>
      <c r="C145" s="5"/>
      <c r="D145" s="8">
        <v>0.06</v>
      </c>
      <c r="E145" s="8">
        <v>0.09</v>
      </c>
      <c r="F145" s="63"/>
      <c r="G145" s="63"/>
      <c r="H145" s="5"/>
      <c r="I145" s="63"/>
      <c r="J145" s="63"/>
      <c r="K145" s="63"/>
    </row>
    <row r="146" spans="2:11" x14ac:dyDescent="0.2">
      <c r="B146" s="63" t="s">
        <v>124</v>
      </c>
      <c r="C146" s="7"/>
      <c r="D146" s="8">
        <v>0.08</v>
      </c>
      <c r="E146" s="8">
        <v>0.115</v>
      </c>
      <c r="F146" s="63"/>
      <c r="G146" s="63"/>
      <c r="H146" s="65">
        <v>9.5000000000000001E-2</v>
      </c>
      <c r="I146" s="63"/>
      <c r="J146" s="63"/>
      <c r="K146" s="63"/>
    </row>
    <row r="147" spans="2:11" x14ac:dyDescent="0.2">
      <c r="B147" s="63" t="s">
        <v>124</v>
      </c>
      <c r="C147" s="7"/>
      <c r="D147" s="8">
        <v>0.115</v>
      </c>
      <c r="E147" s="8">
        <v>0.13500000000000001</v>
      </c>
      <c r="F147" s="63"/>
      <c r="G147" s="63"/>
      <c r="H147" s="8">
        <v>0.125</v>
      </c>
      <c r="I147" s="63"/>
      <c r="J147" s="63"/>
      <c r="K147" s="63"/>
    </row>
    <row r="148" spans="2:11" x14ac:dyDescent="0.2">
      <c r="B148" s="63" t="s">
        <v>124</v>
      </c>
      <c r="C148" s="7"/>
      <c r="D148" s="8">
        <v>0.13</v>
      </c>
      <c r="E148" s="8">
        <v>0.17</v>
      </c>
      <c r="F148" s="63"/>
      <c r="G148" s="63"/>
      <c r="H148" s="5">
        <v>0.15</v>
      </c>
      <c r="I148" s="63"/>
      <c r="J148" s="63"/>
      <c r="K148" s="63"/>
    </row>
    <row r="149" spans="2:11" x14ac:dyDescent="0.2">
      <c r="B149" s="63" t="s">
        <v>124</v>
      </c>
      <c r="C149" s="7">
        <v>3.4</v>
      </c>
      <c r="D149" s="5">
        <v>0.18</v>
      </c>
      <c r="E149" s="5">
        <v>0.22</v>
      </c>
      <c r="F149" s="63"/>
      <c r="G149" s="63"/>
      <c r="H149" s="6">
        <v>0.19</v>
      </c>
      <c r="I149" s="63"/>
      <c r="J149" s="63"/>
      <c r="K149" s="63"/>
    </row>
    <row r="150" spans="2:11" x14ac:dyDescent="0.2">
      <c r="B150" s="63" t="s">
        <v>124</v>
      </c>
      <c r="C150" s="7">
        <v>3.5</v>
      </c>
      <c r="D150" s="5">
        <v>0.23</v>
      </c>
      <c r="E150" s="5">
        <v>0.28000000000000003</v>
      </c>
      <c r="F150" s="63"/>
      <c r="G150" s="63"/>
      <c r="H150" s="6">
        <v>0.24</v>
      </c>
      <c r="I150" s="63"/>
      <c r="J150" s="63"/>
      <c r="K150" s="63"/>
    </row>
    <row r="151" spans="2:11" x14ac:dyDescent="0.2">
      <c r="B151" s="63" t="s">
        <v>124</v>
      </c>
      <c r="C151" s="7">
        <v>3.8</v>
      </c>
      <c r="D151" s="5">
        <v>0.28999999999999998</v>
      </c>
      <c r="E151" s="5">
        <v>0.35</v>
      </c>
      <c r="F151" s="63"/>
      <c r="G151" s="63"/>
      <c r="H151" s="6">
        <v>0.3</v>
      </c>
      <c r="I151" s="63"/>
      <c r="J151" s="63"/>
      <c r="K151" s="63"/>
    </row>
    <row r="152" spans="2:11" x14ac:dyDescent="0.2">
      <c r="B152" s="63" t="s">
        <v>124</v>
      </c>
      <c r="C152" s="7">
        <v>4.0999999999999996</v>
      </c>
      <c r="D152" s="7">
        <v>0.35</v>
      </c>
      <c r="E152" s="7">
        <v>0.44</v>
      </c>
      <c r="F152" s="63"/>
      <c r="G152" s="63"/>
      <c r="H152" s="21">
        <v>0.36</v>
      </c>
      <c r="I152" s="63"/>
      <c r="J152" s="63"/>
      <c r="K152" s="63"/>
    </row>
    <row r="153" spans="2:11" x14ac:dyDescent="0.2">
      <c r="B153" s="63" t="s">
        <v>124</v>
      </c>
      <c r="C153" s="7">
        <v>4.0999999999999996</v>
      </c>
      <c r="D153" s="7">
        <v>0.37</v>
      </c>
      <c r="E153" s="7">
        <v>0.45</v>
      </c>
      <c r="F153" s="63"/>
      <c r="G153" s="63"/>
      <c r="H153" s="21">
        <v>0.38</v>
      </c>
      <c r="I153" s="63"/>
      <c r="J153" s="63"/>
      <c r="K153" s="63"/>
    </row>
    <row r="154" spans="2:11" x14ac:dyDescent="0.2">
      <c r="B154" s="63" t="s">
        <v>124</v>
      </c>
      <c r="C154" s="7">
        <v>4.5</v>
      </c>
      <c r="D154" s="5">
        <v>0.45</v>
      </c>
      <c r="E154" s="5">
        <v>0.57999999999999996</v>
      </c>
      <c r="F154" s="63"/>
      <c r="G154" s="63"/>
      <c r="H154" s="6">
        <v>0.46</v>
      </c>
      <c r="I154" s="63"/>
      <c r="J154" s="63"/>
      <c r="K154" s="63"/>
    </row>
    <row r="155" spans="2:11" x14ac:dyDescent="0.2">
      <c r="B155" s="63" t="s">
        <v>124</v>
      </c>
      <c r="C155" s="7">
        <v>4.9000000000000004</v>
      </c>
      <c r="D155" s="5">
        <v>0.57999999999999996</v>
      </c>
      <c r="E155" s="5">
        <v>0.68</v>
      </c>
      <c r="F155" s="63"/>
      <c r="G155" s="63"/>
      <c r="H155" s="6">
        <v>0.6</v>
      </c>
      <c r="I155" s="63"/>
      <c r="J155" s="63"/>
      <c r="K155" s="63"/>
    </row>
    <row r="156" spans="2:11" x14ac:dyDescent="0.2">
      <c r="B156" s="63" t="s">
        <v>124</v>
      </c>
      <c r="C156" s="7">
        <v>5.0999999999999996</v>
      </c>
      <c r="D156" s="5">
        <v>0.69</v>
      </c>
      <c r="E156" s="5">
        <v>0.84</v>
      </c>
      <c r="F156" s="63"/>
      <c r="G156" s="63"/>
      <c r="H156" s="6">
        <v>0.71</v>
      </c>
      <c r="I156" s="63"/>
      <c r="J156" s="63"/>
      <c r="K156" s="63"/>
    </row>
    <row r="157" spans="2:11" x14ac:dyDescent="0.2">
      <c r="B157" s="63" t="s">
        <v>124</v>
      </c>
      <c r="C157" s="7">
        <v>5.6</v>
      </c>
      <c r="D157" s="5">
        <v>0.95</v>
      </c>
      <c r="E157" s="5">
        <v>1.1000000000000001</v>
      </c>
      <c r="F157" s="63"/>
      <c r="G157" s="63"/>
      <c r="H157" s="6">
        <v>0.97</v>
      </c>
      <c r="I157" s="63"/>
      <c r="J157" s="63"/>
      <c r="K157" s="63"/>
    </row>
    <row r="158" spans="2:11" x14ac:dyDescent="0.2">
      <c r="B158" s="63" t="s">
        <v>125</v>
      </c>
      <c r="C158" s="64"/>
      <c r="D158" s="8">
        <v>3.5000000000000003E-2</v>
      </c>
      <c r="E158" s="8">
        <v>0.06</v>
      </c>
      <c r="F158" s="13"/>
      <c r="G158" s="13"/>
      <c r="H158" s="65">
        <v>0.05</v>
      </c>
      <c r="I158" s="13"/>
      <c r="J158" s="13"/>
      <c r="K158" s="13"/>
    </row>
    <row r="159" spans="2:11" x14ac:dyDescent="0.2">
      <c r="B159" s="63" t="s">
        <v>125</v>
      </c>
      <c r="C159" s="64"/>
      <c r="D159" s="8">
        <v>0.06</v>
      </c>
      <c r="E159" s="8">
        <v>0.09</v>
      </c>
      <c r="F159" s="13"/>
      <c r="G159" s="13"/>
      <c r="H159" s="8">
        <v>7.4999999999999997E-2</v>
      </c>
      <c r="I159" s="13"/>
      <c r="J159" s="13"/>
      <c r="K159" s="13"/>
    </row>
    <row r="160" spans="2:11" x14ac:dyDescent="0.2">
      <c r="B160" s="63" t="s">
        <v>125</v>
      </c>
      <c r="C160" s="64"/>
      <c r="D160" s="8">
        <v>0.08</v>
      </c>
      <c r="E160" s="8">
        <v>0.115</v>
      </c>
      <c r="F160" s="13"/>
      <c r="G160" s="13"/>
      <c r="H160" s="65">
        <v>9.5000000000000001E-2</v>
      </c>
      <c r="I160" s="13"/>
      <c r="J160" s="13"/>
      <c r="K160" s="13"/>
    </row>
    <row r="161" spans="2:11" x14ac:dyDescent="0.2">
      <c r="B161" s="63" t="s">
        <v>125</v>
      </c>
      <c r="C161" s="64"/>
      <c r="D161" s="8">
        <v>0.115</v>
      </c>
      <c r="E161" s="8">
        <v>0.13500000000000001</v>
      </c>
      <c r="F161" s="13"/>
      <c r="G161" s="13"/>
      <c r="H161" s="8">
        <v>0.125</v>
      </c>
      <c r="I161" s="13"/>
      <c r="J161" s="13"/>
      <c r="K161" s="13"/>
    </row>
    <row r="162" spans="2:11" x14ac:dyDescent="0.2">
      <c r="B162" s="63" t="s">
        <v>125</v>
      </c>
      <c r="C162" s="64"/>
      <c r="D162" s="8">
        <v>0.13</v>
      </c>
      <c r="E162" s="8">
        <v>0.17</v>
      </c>
      <c r="F162" s="13"/>
      <c r="G162" s="13"/>
      <c r="H162" s="5">
        <v>0.15</v>
      </c>
      <c r="I162" s="13"/>
      <c r="J162" s="13"/>
      <c r="K162" s="13"/>
    </row>
    <row r="163" spans="2:11" x14ac:dyDescent="0.2">
      <c r="B163" s="63" t="s">
        <v>125</v>
      </c>
      <c r="C163" s="66" t="s">
        <v>86</v>
      </c>
      <c r="D163" s="5">
        <v>0.18</v>
      </c>
      <c r="E163" s="5">
        <v>0.22</v>
      </c>
      <c r="F163" s="13"/>
      <c r="G163" s="13"/>
      <c r="H163" s="6">
        <v>0.19</v>
      </c>
      <c r="I163" s="13"/>
      <c r="J163" s="13"/>
      <c r="K163" s="13"/>
    </row>
    <row r="164" spans="2:11" x14ac:dyDescent="0.2">
      <c r="B164" s="63" t="s">
        <v>125</v>
      </c>
      <c r="C164" s="66" t="s">
        <v>88</v>
      </c>
      <c r="D164" s="5">
        <v>0.23</v>
      </c>
      <c r="E164" s="5">
        <v>0.28000000000000003</v>
      </c>
      <c r="F164" s="13"/>
      <c r="G164" s="13"/>
      <c r="H164" s="6">
        <v>0.24</v>
      </c>
      <c r="I164" s="13"/>
      <c r="J164" s="13"/>
      <c r="K164" s="13"/>
    </row>
    <row r="165" spans="2:11" x14ac:dyDescent="0.2">
      <c r="B165" s="63" t="s">
        <v>125</v>
      </c>
      <c r="C165" s="66" t="s">
        <v>90</v>
      </c>
      <c r="D165" s="5">
        <v>0.28999999999999998</v>
      </c>
      <c r="E165" s="5">
        <v>0.35</v>
      </c>
      <c r="F165" s="13"/>
      <c r="G165" s="13"/>
      <c r="H165" s="6">
        <v>0.3</v>
      </c>
      <c r="I165" s="13"/>
      <c r="J165" s="13"/>
      <c r="K165" s="13"/>
    </row>
    <row r="166" spans="2:11" x14ac:dyDescent="0.2">
      <c r="B166" s="63" t="s">
        <v>125</v>
      </c>
      <c r="C166" s="66" t="s">
        <v>92</v>
      </c>
      <c r="D166" s="7">
        <v>0.35</v>
      </c>
      <c r="E166" s="7">
        <v>0.44</v>
      </c>
      <c r="F166" s="13"/>
      <c r="G166" s="13"/>
      <c r="H166" s="21">
        <v>0.36</v>
      </c>
      <c r="I166" s="13"/>
      <c r="J166" s="13"/>
      <c r="K166" s="13"/>
    </row>
    <row r="167" spans="2:11" x14ac:dyDescent="0.2">
      <c r="B167" s="63" t="s">
        <v>125</v>
      </c>
      <c r="C167" s="66" t="s">
        <v>92</v>
      </c>
      <c r="D167" s="7">
        <v>0.37</v>
      </c>
      <c r="E167" s="7">
        <v>0.45</v>
      </c>
      <c r="F167" s="13"/>
      <c r="G167" s="13"/>
      <c r="H167" s="21">
        <v>0.38</v>
      </c>
      <c r="I167" s="13"/>
      <c r="J167" s="13"/>
      <c r="K167" s="13"/>
    </row>
    <row r="168" spans="2:11" x14ac:dyDescent="0.2">
      <c r="B168" s="63" t="s">
        <v>125</v>
      </c>
      <c r="C168" s="66" t="s">
        <v>94</v>
      </c>
      <c r="D168" s="5">
        <v>0.45</v>
      </c>
      <c r="E168" s="5">
        <v>0.57999999999999996</v>
      </c>
      <c r="F168" s="13"/>
      <c r="G168" s="13"/>
      <c r="H168" s="6">
        <v>0.46</v>
      </c>
      <c r="I168" s="13"/>
      <c r="J168" s="13"/>
      <c r="K168" s="13"/>
    </row>
    <row r="169" spans="2:11" x14ac:dyDescent="0.2">
      <c r="B169" s="63" t="s">
        <v>125</v>
      </c>
      <c r="C169" s="66" t="s">
        <v>96</v>
      </c>
      <c r="D169" s="5">
        <v>0.57999999999999996</v>
      </c>
      <c r="E169" s="5">
        <v>0.68</v>
      </c>
      <c r="F169" s="13"/>
      <c r="G169" s="13"/>
      <c r="H169" s="6">
        <v>0.6</v>
      </c>
      <c r="I169" s="13"/>
      <c r="J169" s="13"/>
      <c r="K169" s="13"/>
    </row>
    <row r="170" spans="2:11" x14ac:dyDescent="0.2">
      <c r="B170" s="63" t="s">
        <v>125</v>
      </c>
      <c r="C170" s="66" t="s">
        <v>98</v>
      </c>
      <c r="D170" s="5">
        <v>0.69</v>
      </c>
      <c r="E170" s="5">
        <v>0.84</v>
      </c>
      <c r="F170" s="13"/>
      <c r="G170" s="13"/>
      <c r="H170" s="6">
        <v>0.71</v>
      </c>
      <c r="I170" s="13"/>
      <c r="J170" s="13"/>
      <c r="K170" s="13"/>
    </row>
    <row r="171" spans="2:11" x14ac:dyDescent="0.2">
      <c r="B171" s="63" t="s">
        <v>125</v>
      </c>
      <c r="C171" s="66" t="s">
        <v>100</v>
      </c>
      <c r="D171" s="5">
        <v>0.95</v>
      </c>
      <c r="E171" s="5">
        <v>1.1000000000000001</v>
      </c>
      <c r="F171" s="13"/>
      <c r="G171" s="13"/>
      <c r="H171" s="6">
        <v>0.97</v>
      </c>
      <c r="I171" s="13"/>
      <c r="J171" s="13"/>
      <c r="K171" s="13"/>
    </row>
    <row r="172" spans="2:11" x14ac:dyDescent="0.2">
      <c r="B172" s="63" t="s">
        <v>126</v>
      </c>
      <c r="C172" s="64"/>
      <c r="D172" s="8">
        <v>3.5000000000000003E-2</v>
      </c>
      <c r="E172" s="8">
        <v>0.06</v>
      </c>
      <c r="F172" s="13"/>
      <c r="G172" s="13"/>
      <c r="H172" s="65">
        <v>0.05</v>
      </c>
      <c r="I172" s="13"/>
      <c r="J172" s="13"/>
      <c r="K172" s="13"/>
    </row>
    <row r="173" spans="2:11" x14ac:dyDescent="0.2">
      <c r="B173" s="63" t="s">
        <v>126</v>
      </c>
      <c r="C173" s="64"/>
      <c r="D173" s="8">
        <v>0.06</v>
      </c>
      <c r="E173" s="8">
        <v>0.09</v>
      </c>
      <c r="F173" s="13"/>
      <c r="G173" s="13"/>
      <c r="H173" s="8">
        <v>7.4999999999999997E-2</v>
      </c>
      <c r="I173" s="13"/>
      <c r="J173" s="13"/>
      <c r="K173" s="13"/>
    </row>
    <row r="174" spans="2:11" x14ac:dyDescent="0.2">
      <c r="B174" s="63" t="s">
        <v>126</v>
      </c>
      <c r="C174" s="64"/>
      <c r="D174" s="8">
        <v>0.08</v>
      </c>
      <c r="E174" s="8">
        <v>0.115</v>
      </c>
      <c r="F174" s="13"/>
      <c r="G174" s="13"/>
      <c r="H174" s="65">
        <v>9.5000000000000001E-2</v>
      </c>
      <c r="I174" s="13"/>
      <c r="J174" s="13"/>
      <c r="K174" s="13"/>
    </row>
    <row r="175" spans="2:11" x14ac:dyDescent="0.2">
      <c r="B175" s="63" t="s">
        <v>126</v>
      </c>
      <c r="C175" s="64"/>
      <c r="D175" s="8">
        <v>0.115</v>
      </c>
      <c r="E175" s="8">
        <v>0.13500000000000001</v>
      </c>
      <c r="F175" s="13"/>
      <c r="G175" s="13"/>
      <c r="H175" s="8">
        <v>0.125</v>
      </c>
      <c r="I175" s="13"/>
      <c r="J175" s="13"/>
      <c r="K175" s="13"/>
    </row>
    <row r="176" spans="2:11" x14ac:dyDescent="0.2">
      <c r="B176" s="63" t="s">
        <v>126</v>
      </c>
      <c r="C176" s="64"/>
      <c r="D176" s="8">
        <v>0.13</v>
      </c>
      <c r="E176" s="8">
        <v>0.17</v>
      </c>
      <c r="F176" s="13"/>
      <c r="G176" s="13"/>
      <c r="H176" s="5">
        <v>0.15</v>
      </c>
      <c r="I176" s="13"/>
      <c r="J176" s="13"/>
      <c r="K176" s="13"/>
    </row>
    <row r="177" spans="2:11" x14ac:dyDescent="0.2">
      <c r="B177" s="63" t="s">
        <v>126</v>
      </c>
      <c r="C177" s="66" t="s">
        <v>87</v>
      </c>
      <c r="D177" s="5">
        <v>0.18</v>
      </c>
      <c r="E177" s="5">
        <v>0.22</v>
      </c>
      <c r="F177" s="13"/>
      <c r="G177" s="13"/>
      <c r="H177" s="6">
        <v>0.19</v>
      </c>
      <c r="I177" s="13"/>
      <c r="J177" s="13"/>
      <c r="K177" s="13"/>
    </row>
    <row r="178" spans="2:11" x14ac:dyDescent="0.2">
      <c r="B178" s="63" t="s">
        <v>126</v>
      </c>
      <c r="C178" s="66" t="s">
        <v>89</v>
      </c>
      <c r="D178" s="5">
        <v>0.23</v>
      </c>
      <c r="E178" s="5">
        <v>0.28000000000000003</v>
      </c>
      <c r="F178" s="13"/>
      <c r="G178" s="13"/>
      <c r="H178" s="6">
        <v>0.24</v>
      </c>
      <c r="I178" s="13"/>
      <c r="J178" s="13"/>
      <c r="K178" s="13"/>
    </row>
    <row r="179" spans="2:11" x14ac:dyDescent="0.2">
      <c r="B179" s="63" t="s">
        <v>126</v>
      </c>
      <c r="C179" s="66" t="s">
        <v>91</v>
      </c>
      <c r="D179" s="5">
        <v>0.28999999999999998</v>
      </c>
      <c r="E179" s="5">
        <v>0.35</v>
      </c>
      <c r="F179" s="13"/>
      <c r="G179" s="13"/>
      <c r="H179" s="6">
        <v>0.3</v>
      </c>
      <c r="I179" s="13"/>
      <c r="J179" s="13"/>
      <c r="K179" s="13"/>
    </row>
    <row r="180" spans="2:11" x14ac:dyDescent="0.2">
      <c r="B180" s="63" t="s">
        <v>126</v>
      </c>
      <c r="C180" s="66" t="s">
        <v>93</v>
      </c>
      <c r="D180" s="7">
        <v>0.35</v>
      </c>
      <c r="E180" s="7">
        <v>0.44</v>
      </c>
      <c r="F180" s="13"/>
      <c r="G180" s="13"/>
      <c r="H180" s="21">
        <v>0.36</v>
      </c>
      <c r="I180" s="13"/>
      <c r="J180" s="13"/>
      <c r="K180" s="13"/>
    </row>
    <row r="181" spans="2:11" x14ac:dyDescent="0.2">
      <c r="B181" s="63" t="s">
        <v>126</v>
      </c>
      <c r="C181" s="66" t="s">
        <v>93</v>
      </c>
      <c r="D181" s="7">
        <v>0.37</v>
      </c>
      <c r="E181" s="7">
        <v>0.45</v>
      </c>
      <c r="F181" s="13"/>
      <c r="G181" s="13"/>
      <c r="H181" s="21">
        <v>0.38</v>
      </c>
      <c r="I181" s="13"/>
      <c r="J181" s="13"/>
      <c r="K181" s="13"/>
    </row>
    <row r="182" spans="2:11" x14ac:dyDescent="0.2">
      <c r="B182" s="63" t="s">
        <v>126</v>
      </c>
      <c r="C182" s="66" t="s">
        <v>95</v>
      </c>
      <c r="D182" s="5">
        <v>0.45</v>
      </c>
      <c r="E182" s="5">
        <v>0.57999999999999996</v>
      </c>
      <c r="F182" s="13"/>
      <c r="G182" s="13"/>
      <c r="H182" s="6">
        <v>0.46</v>
      </c>
      <c r="I182" s="13"/>
      <c r="J182" s="13"/>
      <c r="K182" s="13"/>
    </row>
    <row r="183" spans="2:11" x14ac:dyDescent="0.2">
      <c r="B183" s="63" t="s">
        <v>126</v>
      </c>
      <c r="C183" s="66" t="s">
        <v>97</v>
      </c>
      <c r="D183" s="5">
        <v>0.57999999999999996</v>
      </c>
      <c r="E183" s="5">
        <v>0.68</v>
      </c>
      <c r="F183" s="13"/>
      <c r="G183" s="13"/>
      <c r="H183" s="6">
        <v>0.6</v>
      </c>
      <c r="I183" s="13"/>
      <c r="J183" s="13"/>
      <c r="K183" s="13"/>
    </row>
    <row r="184" spans="2:11" x14ac:dyDescent="0.2">
      <c r="B184" s="63" t="s">
        <v>126</v>
      </c>
      <c r="C184" s="66" t="s">
        <v>99</v>
      </c>
      <c r="D184" s="5">
        <v>0.69</v>
      </c>
      <c r="E184" s="5">
        <v>0.84</v>
      </c>
      <c r="F184" s="13"/>
      <c r="G184" s="13"/>
      <c r="H184" s="6">
        <v>0.71</v>
      </c>
      <c r="I184" s="13"/>
      <c r="J184" s="13"/>
      <c r="K184" s="13"/>
    </row>
    <row r="185" spans="2:11" x14ac:dyDescent="0.2">
      <c r="B185" s="63" t="s">
        <v>126</v>
      </c>
      <c r="C185" s="66" t="s">
        <v>101</v>
      </c>
      <c r="D185" s="5">
        <v>0.95</v>
      </c>
      <c r="E185" s="5">
        <v>1.1000000000000001</v>
      </c>
      <c r="F185" s="13"/>
      <c r="G185" s="13"/>
      <c r="H185" s="6">
        <v>0.97</v>
      </c>
      <c r="I185" s="13"/>
      <c r="J185" s="13"/>
      <c r="K185" s="13"/>
    </row>
    <row r="186" spans="2:11" x14ac:dyDescent="0.2">
      <c r="B186" s="63" t="s">
        <v>127</v>
      </c>
      <c r="C186" s="64"/>
      <c r="D186" s="8">
        <v>3.5000000000000003E-2</v>
      </c>
      <c r="E186" s="8">
        <v>0.06</v>
      </c>
      <c r="F186" s="13"/>
      <c r="G186" s="13"/>
      <c r="H186" s="65">
        <v>0.05</v>
      </c>
      <c r="I186" s="13"/>
      <c r="J186" s="13"/>
      <c r="K186" s="13"/>
    </row>
    <row r="187" spans="2:11" x14ac:dyDescent="0.2">
      <c r="B187" s="63" t="s">
        <v>127</v>
      </c>
      <c r="C187" s="64"/>
      <c r="D187" s="8">
        <v>0.06</v>
      </c>
      <c r="E187" s="8">
        <v>0.09</v>
      </c>
      <c r="F187" s="13"/>
      <c r="G187" s="13"/>
      <c r="H187" s="8">
        <v>7.4999999999999997E-2</v>
      </c>
      <c r="I187" s="13"/>
      <c r="J187" s="13"/>
      <c r="K187" s="13"/>
    </row>
    <row r="188" spans="2:11" x14ac:dyDescent="0.2">
      <c r="B188" s="63" t="s">
        <v>127</v>
      </c>
      <c r="C188" s="64"/>
      <c r="D188" s="8">
        <v>0.08</v>
      </c>
      <c r="E188" s="8">
        <v>0.115</v>
      </c>
      <c r="F188" s="13"/>
      <c r="G188" s="13"/>
      <c r="H188" s="65">
        <v>9.5000000000000001E-2</v>
      </c>
      <c r="I188" s="13"/>
      <c r="J188" s="13"/>
      <c r="K188" s="13"/>
    </row>
    <row r="189" spans="2:11" x14ac:dyDescent="0.2">
      <c r="B189" s="63" t="s">
        <v>127</v>
      </c>
      <c r="C189" s="64"/>
      <c r="D189" s="8">
        <v>0.115</v>
      </c>
      <c r="E189" s="8">
        <v>0.13500000000000001</v>
      </c>
      <c r="F189" s="13"/>
      <c r="G189" s="13"/>
      <c r="H189" s="8">
        <v>0.125</v>
      </c>
      <c r="I189" s="13"/>
      <c r="J189" s="13"/>
      <c r="K189" s="13"/>
    </row>
    <row r="190" spans="2:11" x14ac:dyDescent="0.2">
      <c r="B190" s="63" t="s">
        <v>127</v>
      </c>
      <c r="C190" s="64"/>
      <c r="D190" s="8">
        <v>0.13</v>
      </c>
      <c r="E190" s="8">
        <v>0.17</v>
      </c>
      <c r="F190" s="13"/>
      <c r="G190" s="13"/>
      <c r="H190" s="5">
        <v>0.15</v>
      </c>
      <c r="I190" s="13"/>
      <c r="J190" s="13"/>
      <c r="K190" s="13"/>
    </row>
    <row r="191" spans="2:11" x14ac:dyDescent="0.2">
      <c r="B191" s="63" t="s">
        <v>127</v>
      </c>
      <c r="C191" s="66" t="s">
        <v>102</v>
      </c>
      <c r="D191" s="5">
        <v>0.18</v>
      </c>
      <c r="E191" s="5">
        <v>0.22</v>
      </c>
      <c r="F191" s="13"/>
      <c r="G191" s="13"/>
      <c r="H191" s="6">
        <v>0.19</v>
      </c>
      <c r="I191" s="13"/>
      <c r="J191" s="13"/>
      <c r="K191" s="13"/>
    </row>
    <row r="192" spans="2:11" x14ac:dyDescent="0.2">
      <c r="B192" s="63" t="s">
        <v>127</v>
      </c>
      <c r="C192" s="66" t="s">
        <v>103</v>
      </c>
      <c r="D192" s="5">
        <v>0.23</v>
      </c>
      <c r="E192" s="5">
        <v>0.28000000000000003</v>
      </c>
      <c r="F192" s="13"/>
      <c r="G192" s="13"/>
      <c r="H192" s="6">
        <v>0.24</v>
      </c>
      <c r="I192" s="13"/>
      <c r="J192" s="13"/>
      <c r="K192" s="13"/>
    </row>
    <row r="193" spans="2:11" x14ac:dyDescent="0.2">
      <c r="B193" s="63" t="s">
        <v>127</v>
      </c>
      <c r="C193" s="66" t="s">
        <v>104</v>
      </c>
      <c r="D193" s="5">
        <v>0.28999999999999998</v>
      </c>
      <c r="E193" s="5">
        <v>0.35</v>
      </c>
      <c r="F193" s="13"/>
      <c r="G193" s="13"/>
      <c r="H193" s="6">
        <v>0.3</v>
      </c>
      <c r="I193" s="13"/>
      <c r="J193" s="13"/>
      <c r="K193" s="13"/>
    </row>
    <row r="194" spans="2:11" x14ac:dyDescent="0.2">
      <c r="B194" s="63" t="s">
        <v>127</v>
      </c>
      <c r="C194" s="66" t="s">
        <v>105</v>
      </c>
      <c r="D194" s="7">
        <v>0.35</v>
      </c>
      <c r="E194" s="7">
        <v>0.44</v>
      </c>
      <c r="F194" s="13"/>
      <c r="G194" s="13"/>
      <c r="H194" s="21">
        <v>0.36</v>
      </c>
      <c r="I194" s="13"/>
      <c r="J194" s="13"/>
      <c r="K194" s="13"/>
    </row>
    <row r="195" spans="2:11" x14ac:dyDescent="0.2">
      <c r="B195" s="63" t="s">
        <v>127</v>
      </c>
      <c r="C195" s="66" t="s">
        <v>105</v>
      </c>
      <c r="D195" s="7">
        <v>0.37</v>
      </c>
      <c r="E195" s="7">
        <v>0.45</v>
      </c>
      <c r="F195" s="13"/>
      <c r="G195" s="13"/>
      <c r="H195" s="21">
        <v>0.38</v>
      </c>
      <c r="I195" s="13"/>
      <c r="J195" s="13"/>
      <c r="K195" s="13"/>
    </row>
    <row r="196" spans="2:11" x14ac:dyDescent="0.2">
      <c r="B196" s="63" t="s">
        <v>127</v>
      </c>
      <c r="C196" s="66" t="s">
        <v>106</v>
      </c>
      <c r="D196" s="5">
        <v>0.45</v>
      </c>
      <c r="E196" s="5">
        <v>0.57999999999999996</v>
      </c>
      <c r="F196" s="13"/>
      <c r="G196" s="13"/>
      <c r="H196" s="6">
        <v>0.46</v>
      </c>
      <c r="I196" s="13"/>
      <c r="J196" s="13"/>
      <c r="K196" s="13"/>
    </row>
    <row r="197" spans="2:11" x14ac:dyDescent="0.2">
      <c r="B197" s="63" t="s">
        <v>127</v>
      </c>
      <c r="C197" s="66" t="s">
        <v>107</v>
      </c>
      <c r="D197" s="5">
        <v>0.57999999999999996</v>
      </c>
      <c r="E197" s="5">
        <v>0.68</v>
      </c>
      <c r="F197" s="13"/>
      <c r="G197" s="13"/>
      <c r="H197" s="6">
        <v>0.6</v>
      </c>
      <c r="I197" s="13"/>
      <c r="J197" s="13"/>
      <c r="K197" s="13"/>
    </row>
    <row r="198" spans="2:11" x14ac:dyDescent="0.2">
      <c r="B198" s="63" t="s">
        <v>127</v>
      </c>
      <c r="C198" s="66" t="s">
        <v>108</v>
      </c>
      <c r="D198" s="5">
        <v>0.69</v>
      </c>
      <c r="E198" s="5">
        <v>0.84</v>
      </c>
      <c r="F198" s="13"/>
      <c r="G198" s="13"/>
      <c r="H198" s="6">
        <v>0.71</v>
      </c>
      <c r="I198" s="13"/>
      <c r="J198" s="13"/>
      <c r="K198" s="13"/>
    </row>
    <row r="199" spans="2:11" x14ac:dyDescent="0.2">
      <c r="B199" s="63" t="s">
        <v>127</v>
      </c>
      <c r="C199" s="66" t="s">
        <v>109</v>
      </c>
      <c r="D199" s="5">
        <v>0.95</v>
      </c>
      <c r="E199" s="5">
        <v>1.1000000000000001</v>
      </c>
      <c r="F199" s="13"/>
      <c r="G199" s="13"/>
      <c r="H199" s="6">
        <v>0.97</v>
      </c>
      <c r="I199" s="13"/>
      <c r="J199" s="13"/>
      <c r="K199" s="13"/>
    </row>
  </sheetData>
  <mergeCells count="5">
    <mergeCell ref="D3:E3"/>
    <mergeCell ref="F3:G3"/>
    <mergeCell ref="I3:I4"/>
    <mergeCell ref="J3:J4"/>
    <mergeCell ref="K3:K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M61"/>
  <sheetViews>
    <sheetView showGridLines="0" tabSelected="1" topLeftCell="A30" zoomScaleNormal="100" workbookViewId="0">
      <selection activeCell="L49" sqref="L49:M49"/>
    </sheetView>
  </sheetViews>
  <sheetFormatPr defaultRowHeight="12.75" x14ac:dyDescent="0.2"/>
  <cols>
    <col min="1" max="1" width="6" customWidth="1"/>
    <col min="2" max="2" width="10.28515625" customWidth="1"/>
    <col min="3" max="3" width="51" bestFit="1" customWidth="1"/>
    <col min="4" max="4" width="18" customWidth="1"/>
    <col min="5" max="5" width="10" customWidth="1"/>
    <col min="6" max="6" width="10.5703125" customWidth="1"/>
    <col min="7" max="7" width="11.42578125" customWidth="1"/>
    <col min="10" max="10" width="17.7109375" bestFit="1" customWidth="1"/>
    <col min="11" max="11" width="10" customWidth="1"/>
    <col min="12" max="12" width="9.7109375" customWidth="1"/>
    <col min="13" max="13" width="17.42578125" customWidth="1"/>
  </cols>
  <sheetData>
    <row r="1" spans="2:13" ht="13.5" thickBot="1" x14ac:dyDescent="0.25"/>
    <row r="2" spans="2:13" ht="18.75" customHeight="1" x14ac:dyDescent="0.2">
      <c r="B2" s="283" t="s">
        <v>54</v>
      </c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5"/>
    </row>
    <row r="3" spans="2:13" ht="15.75" customHeight="1" thickBot="1" x14ac:dyDescent="0.25">
      <c r="B3" s="286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8"/>
    </row>
    <row r="4" spans="2:13" ht="23.25" customHeight="1" thickBot="1" x14ac:dyDescent="0.25">
      <c r="B4" s="197" t="s">
        <v>144</v>
      </c>
      <c r="C4" s="198"/>
      <c r="D4" s="198"/>
      <c r="E4" s="198"/>
      <c r="F4" s="198"/>
      <c r="G4" s="198"/>
      <c r="H4" s="198"/>
      <c r="I4" s="199"/>
      <c r="J4" s="120" t="s">
        <v>0</v>
      </c>
      <c r="K4" s="121"/>
      <c r="L4" s="200" t="s">
        <v>141</v>
      </c>
      <c r="M4" s="201"/>
    </row>
    <row r="5" spans="2:13" ht="17.100000000000001" customHeight="1" x14ac:dyDescent="0.2">
      <c r="B5" s="202"/>
      <c r="C5" s="203"/>
      <c r="D5" s="203"/>
      <c r="E5" s="203"/>
      <c r="F5" s="203"/>
      <c r="G5" s="203"/>
      <c r="H5" s="203"/>
      <c r="I5" s="204"/>
      <c r="J5" s="123" t="s">
        <v>1</v>
      </c>
      <c r="K5" s="124"/>
      <c r="L5" s="211" t="s">
        <v>150</v>
      </c>
      <c r="M5" s="212"/>
    </row>
    <row r="6" spans="2:13" ht="17.100000000000001" customHeight="1" x14ac:dyDescent="0.2">
      <c r="B6" s="205"/>
      <c r="C6" s="206"/>
      <c r="D6" s="206"/>
      <c r="E6" s="206"/>
      <c r="F6" s="206"/>
      <c r="G6" s="206"/>
      <c r="H6" s="206"/>
      <c r="I6" s="207"/>
      <c r="J6" s="118" t="s">
        <v>2</v>
      </c>
      <c r="K6" s="119"/>
      <c r="L6" s="213" t="s">
        <v>151</v>
      </c>
      <c r="M6" s="214"/>
    </row>
    <row r="7" spans="2:13" ht="17.100000000000001" customHeight="1" x14ac:dyDescent="0.2">
      <c r="B7" s="205"/>
      <c r="C7" s="206"/>
      <c r="D7" s="206"/>
      <c r="E7" s="206"/>
      <c r="F7" s="206"/>
      <c r="G7" s="206"/>
      <c r="H7" s="206"/>
      <c r="I7" s="207"/>
      <c r="J7" s="116" t="s">
        <v>51</v>
      </c>
      <c r="K7" s="117"/>
      <c r="L7" s="213" t="s">
        <v>142</v>
      </c>
      <c r="M7" s="214"/>
    </row>
    <row r="8" spans="2:13" ht="17.100000000000001" customHeight="1" x14ac:dyDescent="0.2">
      <c r="B8" s="205"/>
      <c r="C8" s="206"/>
      <c r="D8" s="206"/>
      <c r="E8" s="206"/>
      <c r="F8" s="206"/>
      <c r="G8" s="206"/>
      <c r="H8" s="206"/>
      <c r="I8" s="207"/>
      <c r="J8" s="116" t="s">
        <v>3</v>
      </c>
      <c r="K8" s="117"/>
      <c r="L8" s="213" t="s">
        <v>143</v>
      </c>
      <c r="M8" s="214"/>
    </row>
    <row r="9" spans="2:13" ht="17.100000000000001" customHeight="1" x14ac:dyDescent="0.2">
      <c r="B9" s="205"/>
      <c r="C9" s="206"/>
      <c r="D9" s="206"/>
      <c r="E9" s="206"/>
      <c r="F9" s="206"/>
      <c r="G9" s="206"/>
      <c r="H9" s="206"/>
      <c r="I9" s="207"/>
      <c r="J9" s="118" t="s">
        <v>128</v>
      </c>
      <c r="K9" s="119"/>
      <c r="L9" s="213"/>
      <c r="M9" s="214"/>
    </row>
    <row r="10" spans="2:13" ht="17.100000000000001" customHeight="1" x14ac:dyDescent="0.2">
      <c r="B10" s="205"/>
      <c r="C10" s="206"/>
      <c r="D10" s="206"/>
      <c r="E10" s="206"/>
      <c r="F10" s="206"/>
      <c r="G10" s="206"/>
      <c r="H10" s="206"/>
      <c r="I10" s="207"/>
      <c r="J10" s="116" t="s">
        <v>4</v>
      </c>
      <c r="K10" s="117"/>
      <c r="L10" s="213" t="s">
        <v>143</v>
      </c>
      <c r="M10" s="214"/>
    </row>
    <row r="11" spans="2:13" ht="17.100000000000001" customHeight="1" x14ac:dyDescent="0.2">
      <c r="B11" s="205"/>
      <c r="C11" s="206"/>
      <c r="D11" s="206"/>
      <c r="E11" s="206"/>
      <c r="F11" s="206"/>
      <c r="G11" s="206"/>
      <c r="H11" s="206"/>
      <c r="I11" s="207"/>
      <c r="J11" s="114" t="s">
        <v>5</v>
      </c>
      <c r="K11" s="115"/>
      <c r="L11" s="213"/>
      <c r="M11" s="214"/>
    </row>
    <row r="12" spans="2:13" ht="17.100000000000001" customHeight="1" x14ac:dyDescent="0.2">
      <c r="B12" s="205"/>
      <c r="C12" s="206"/>
      <c r="D12" s="206"/>
      <c r="E12" s="206"/>
      <c r="F12" s="206"/>
      <c r="G12" s="206"/>
      <c r="H12" s="206"/>
      <c r="I12" s="207"/>
      <c r="J12" s="114" t="s">
        <v>6</v>
      </c>
      <c r="K12" s="115"/>
      <c r="L12" s="213" t="s">
        <v>148</v>
      </c>
      <c r="M12" s="214"/>
    </row>
    <row r="13" spans="2:13" ht="17.100000000000001" customHeight="1" x14ac:dyDescent="0.2">
      <c r="B13" s="205"/>
      <c r="C13" s="206"/>
      <c r="D13" s="206"/>
      <c r="E13" s="206"/>
      <c r="F13" s="206"/>
      <c r="G13" s="206"/>
      <c r="H13" s="206"/>
      <c r="I13" s="207"/>
      <c r="J13" s="118" t="s">
        <v>129</v>
      </c>
      <c r="K13" s="119"/>
      <c r="L13" s="213" t="s">
        <v>156</v>
      </c>
      <c r="M13" s="214"/>
    </row>
    <row r="14" spans="2:13" ht="17.100000000000001" customHeight="1" x14ac:dyDescent="0.2">
      <c r="B14" s="205"/>
      <c r="C14" s="206"/>
      <c r="D14" s="206"/>
      <c r="E14" s="206"/>
      <c r="F14" s="206"/>
      <c r="G14" s="206"/>
      <c r="H14" s="206"/>
      <c r="I14" s="207"/>
      <c r="J14" s="118" t="s">
        <v>130</v>
      </c>
      <c r="K14" s="119"/>
      <c r="L14" s="213" t="s">
        <v>149</v>
      </c>
      <c r="M14" s="214"/>
    </row>
    <row r="15" spans="2:13" ht="17.100000000000001" customHeight="1" x14ac:dyDescent="0.2">
      <c r="B15" s="205"/>
      <c r="C15" s="206"/>
      <c r="D15" s="206"/>
      <c r="E15" s="206"/>
      <c r="F15" s="206"/>
      <c r="G15" s="206"/>
      <c r="H15" s="206"/>
      <c r="I15" s="207"/>
      <c r="J15" s="116" t="s">
        <v>43</v>
      </c>
      <c r="K15" s="117"/>
      <c r="L15" s="215"/>
      <c r="M15" s="216"/>
    </row>
    <row r="16" spans="2:13" ht="17.100000000000001" customHeight="1" x14ac:dyDescent="0.2">
      <c r="B16" s="205"/>
      <c r="C16" s="206"/>
      <c r="D16" s="206"/>
      <c r="E16" s="206"/>
      <c r="F16" s="206"/>
      <c r="G16" s="206"/>
      <c r="H16" s="206"/>
      <c r="I16" s="207"/>
      <c r="J16" s="118" t="s">
        <v>52</v>
      </c>
      <c r="K16" s="119"/>
      <c r="L16" s="213"/>
      <c r="M16" s="214"/>
    </row>
    <row r="17" spans="2:13" ht="17.100000000000001" customHeight="1" x14ac:dyDescent="0.2">
      <c r="B17" s="205"/>
      <c r="C17" s="206"/>
      <c r="D17" s="206"/>
      <c r="E17" s="206"/>
      <c r="F17" s="206"/>
      <c r="G17" s="206"/>
      <c r="H17" s="206"/>
      <c r="I17" s="207"/>
      <c r="J17" s="116" t="s">
        <v>131</v>
      </c>
      <c r="K17" s="117"/>
      <c r="L17" s="213"/>
      <c r="M17" s="214"/>
    </row>
    <row r="18" spans="2:13" ht="17.100000000000001" customHeight="1" x14ac:dyDescent="0.2">
      <c r="B18" s="205"/>
      <c r="C18" s="206"/>
      <c r="D18" s="206"/>
      <c r="E18" s="206"/>
      <c r="F18" s="206"/>
      <c r="G18" s="206"/>
      <c r="H18" s="206"/>
      <c r="I18" s="207"/>
      <c r="J18" s="116" t="s">
        <v>8</v>
      </c>
      <c r="K18" s="117"/>
      <c r="L18" s="215"/>
      <c r="M18" s="216"/>
    </row>
    <row r="19" spans="2:13" ht="17.100000000000001" customHeight="1" thickBot="1" x14ac:dyDescent="0.25">
      <c r="B19" s="208"/>
      <c r="C19" s="209"/>
      <c r="D19" s="209"/>
      <c r="E19" s="209"/>
      <c r="F19" s="209"/>
      <c r="G19" s="209"/>
      <c r="H19" s="209"/>
      <c r="I19" s="210"/>
      <c r="J19" s="111" t="s">
        <v>9</v>
      </c>
      <c r="K19" s="122"/>
      <c r="L19" s="219"/>
      <c r="M19" s="220"/>
    </row>
    <row r="20" spans="2:13" ht="17.100000000000001" customHeight="1" x14ac:dyDescent="0.2">
      <c r="B20" s="221" t="s">
        <v>140</v>
      </c>
      <c r="C20" s="222"/>
      <c r="D20" s="222"/>
      <c r="E20" s="222"/>
      <c r="F20" s="222"/>
      <c r="G20" s="222"/>
      <c r="H20" s="222"/>
      <c r="I20" s="223"/>
      <c r="J20" s="110" t="s">
        <v>132</v>
      </c>
      <c r="K20" s="194"/>
      <c r="L20" s="108" t="s">
        <v>133</v>
      </c>
      <c r="M20" s="113" t="s">
        <v>50</v>
      </c>
    </row>
    <row r="21" spans="2:13" ht="16.5" thickBot="1" x14ac:dyDescent="0.25">
      <c r="B21" s="224"/>
      <c r="C21" s="225"/>
      <c r="D21" s="225"/>
      <c r="E21" s="225"/>
      <c r="F21" s="225"/>
      <c r="G21" s="225"/>
      <c r="H21" s="225"/>
      <c r="I21" s="226"/>
      <c r="J21" s="105" t="s">
        <v>134</v>
      </c>
      <c r="K21" s="109"/>
      <c r="L21" s="109" t="s">
        <v>7</v>
      </c>
      <c r="M21" s="112"/>
    </row>
    <row r="22" spans="2:13" ht="17.25" customHeight="1" thickBot="1" x14ac:dyDescent="0.25">
      <c r="B22" s="227" t="s">
        <v>147</v>
      </c>
      <c r="C22" s="228"/>
      <c r="D22" s="228"/>
      <c r="E22" s="228"/>
      <c r="F22" s="228"/>
      <c r="G22" s="228"/>
      <c r="H22" s="228"/>
      <c r="I22" s="229"/>
      <c r="J22" s="105" t="s">
        <v>135</v>
      </c>
      <c r="K22" s="98"/>
      <c r="L22" s="98" t="s">
        <v>136</v>
      </c>
      <c r="M22" s="126"/>
    </row>
    <row r="23" spans="2:13" ht="16.5" thickBot="1" x14ac:dyDescent="0.25">
      <c r="B23" s="106" t="s">
        <v>20</v>
      </c>
      <c r="C23" s="217" t="s">
        <v>10</v>
      </c>
      <c r="D23" s="217" t="s">
        <v>15</v>
      </c>
      <c r="E23" s="217" t="s">
        <v>13</v>
      </c>
      <c r="F23" s="235" t="s">
        <v>14</v>
      </c>
      <c r="G23" s="217" t="s">
        <v>11</v>
      </c>
      <c r="H23" s="230" t="s">
        <v>11</v>
      </c>
      <c r="I23" s="231"/>
      <c r="J23" s="105" t="s">
        <v>19</v>
      </c>
      <c r="K23" s="190"/>
      <c r="L23" s="99"/>
      <c r="M23" s="107"/>
    </row>
    <row r="24" spans="2:13" ht="13.5" thickBot="1" x14ac:dyDescent="0.25">
      <c r="B24" s="186" t="s">
        <v>12</v>
      </c>
      <c r="C24" s="218"/>
      <c r="D24" s="218"/>
      <c r="E24" s="218"/>
      <c r="F24" s="236"/>
      <c r="G24" s="218"/>
      <c r="H24" s="127" t="s">
        <v>16</v>
      </c>
      <c r="I24" s="127" t="s">
        <v>17</v>
      </c>
      <c r="J24" s="232"/>
      <c r="K24" s="233"/>
      <c r="L24" s="233"/>
      <c r="M24" s="234"/>
    </row>
    <row r="25" spans="2:13" ht="17.100000000000001" customHeight="1" thickBot="1" x14ac:dyDescent="0.25">
      <c r="B25" s="175" t="s">
        <v>145</v>
      </c>
      <c r="C25" s="176" t="s">
        <v>152</v>
      </c>
      <c r="D25" s="176" t="s">
        <v>146</v>
      </c>
      <c r="E25" s="177">
        <v>1</v>
      </c>
      <c r="F25" s="178"/>
      <c r="G25" s="179">
        <v>0.55500000000000005</v>
      </c>
      <c r="H25" s="179"/>
      <c r="I25" s="154">
        <v>6.4000000000000001E-2</v>
      </c>
      <c r="J25" s="237" t="s">
        <v>45</v>
      </c>
      <c r="K25" s="237"/>
      <c r="L25" s="237"/>
      <c r="M25" s="238"/>
    </row>
    <row r="26" spans="2:13" ht="17.100000000000001" customHeight="1" thickBot="1" x14ac:dyDescent="0.25">
      <c r="B26" s="181"/>
      <c r="C26" s="172"/>
      <c r="D26" s="176"/>
      <c r="E26" s="173"/>
      <c r="F26" s="144"/>
      <c r="G26" s="139"/>
      <c r="H26" s="139"/>
      <c r="I26" s="158"/>
      <c r="J26" s="166" t="s">
        <v>16</v>
      </c>
      <c r="K26" s="101"/>
      <c r="L26" s="166"/>
      <c r="M26" s="127" t="s">
        <v>17</v>
      </c>
    </row>
    <row r="27" spans="2:13" ht="17.100000000000001" customHeight="1" x14ac:dyDescent="0.2">
      <c r="B27" s="181"/>
      <c r="C27" s="172"/>
      <c r="D27" s="172"/>
      <c r="E27" s="173"/>
      <c r="F27" s="144"/>
      <c r="G27" s="139"/>
      <c r="H27" s="139"/>
      <c r="I27" s="158"/>
      <c r="J27" s="128"/>
      <c r="K27" s="103"/>
      <c r="L27" s="103"/>
      <c r="M27" s="180"/>
    </row>
    <row r="28" spans="2:13" ht="15.75" x14ac:dyDescent="0.2">
      <c r="B28" s="181"/>
      <c r="C28" s="193"/>
      <c r="D28" s="172"/>
      <c r="E28" s="173"/>
      <c r="F28" s="144"/>
      <c r="G28" s="139"/>
      <c r="H28" s="139"/>
      <c r="I28" s="158"/>
      <c r="J28" s="187"/>
      <c r="K28" s="174"/>
      <c r="L28" s="174"/>
      <c r="M28" s="182"/>
    </row>
    <row r="29" spans="2:13" ht="15.75" x14ac:dyDescent="0.2">
      <c r="B29" s="181"/>
      <c r="C29" s="193"/>
      <c r="D29" s="172"/>
      <c r="E29" s="173"/>
      <c r="F29" s="144"/>
      <c r="G29" s="139"/>
      <c r="H29" s="139"/>
      <c r="I29" s="158"/>
      <c r="J29" s="187"/>
      <c r="K29" s="174"/>
      <c r="L29" s="174"/>
      <c r="M29" s="182"/>
    </row>
    <row r="30" spans="2:13" ht="17.100000000000001" customHeight="1" x14ac:dyDescent="0.2">
      <c r="B30" s="181"/>
      <c r="C30" s="172"/>
      <c r="D30" s="172"/>
      <c r="E30" s="173"/>
      <c r="F30" s="144"/>
      <c r="G30" s="139"/>
      <c r="H30" s="139"/>
      <c r="I30" s="158"/>
      <c r="J30" s="187"/>
      <c r="K30" s="174"/>
      <c r="L30" s="174"/>
      <c r="M30" s="182"/>
    </row>
    <row r="31" spans="2:13" ht="17.100000000000001" customHeight="1" x14ac:dyDescent="0.2">
      <c r="B31" s="181"/>
      <c r="C31" s="172"/>
      <c r="D31" s="172"/>
      <c r="E31" s="173"/>
      <c r="F31" s="144"/>
      <c r="G31" s="139"/>
      <c r="H31" s="139"/>
      <c r="I31" s="158"/>
      <c r="J31" s="187"/>
      <c r="K31" s="174"/>
      <c r="L31" s="174"/>
      <c r="M31" s="182"/>
    </row>
    <row r="32" spans="2:13" ht="17.100000000000001" customHeight="1" x14ac:dyDescent="0.2">
      <c r="B32" s="181"/>
      <c r="C32" s="172"/>
      <c r="D32" s="172"/>
      <c r="E32" s="173"/>
      <c r="F32" s="144"/>
      <c r="G32" s="139"/>
      <c r="H32" s="139"/>
      <c r="I32" s="158"/>
      <c r="J32" s="187"/>
      <c r="K32" s="174"/>
      <c r="L32" s="174"/>
      <c r="M32" s="182"/>
    </row>
    <row r="33" spans="2:13" ht="17.100000000000001" customHeight="1" x14ac:dyDescent="0.2">
      <c r="B33" s="181"/>
      <c r="C33" s="172"/>
      <c r="D33" s="172"/>
      <c r="E33" s="173"/>
      <c r="F33" s="144"/>
      <c r="G33" s="139"/>
      <c r="H33" s="139"/>
      <c r="I33" s="158"/>
      <c r="J33" s="187"/>
      <c r="K33" s="174"/>
      <c r="L33" s="174"/>
      <c r="M33" s="182"/>
    </row>
    <row r="34" spans="2:13" ht="17.100000000000001" customHeight="1" x14ac:dyDescent="0.2">
      <c r="B34" s="181"/>
      <c r="C34" s="172"/>
      <c r="D34" s="172"/>
      <c r="E34" s="173"/>
      <c r="F34" s="144"/>
      <c r="G34" s="139"/>
      <c r="H34" s="139"/>
      <c r="I34" s="158"/>
      <c r="J34" s="187"/>
      <c r="K34" s="174"/>
      <c r="L34" s="174"/>
      <c r="M34" s="182"/>
    </row>
    <row r="35" spans="2:13" ht="17.100000000000001" customHeight="1" thickBot="1" x14ac:dyDescent="0.25">
      <c r="B35" s="183"/>
      <c r="C35" s="184"/>
      <c r="D35" s="184"/>
      <c r="E35" s="184"/>
      <c r="F35" s="184"/>
      <c r="G35" s="184"/>
      <c r="H35" s="184"/>
      <c r="I35" s="189"/>
      <c r="J35" s="188"/>
      <c r="K35" s="104"/>
      <c r="L35" s="104"/>
      <c r="M35" s="185"/>
    </row>
    <row r="36" spans="2:13" ht="16.5" thickBot="1" x14ac:dyDescent="0.25">
      <c r="B36" s="239" t="s">
        <v>18</v>
      </c>
      <c r="C36" s="240"/>
      <c r="D36" s="241"/>
      <c r="E36" s="167"/>
      <c r="F36" s="168"/>
      <c r="G36" s="169"/>
      <c r="H36" s="169"/>
      <c r="I36" s="169"/>
      <c r="J36" s="170" t="s">
        <v>25</v>
      </c>
      <c r="K36" s="171"/>
      <c r="L36" s="171"/>
      <c r="M36" s="129" t="s">
        <v>53</v>
      </c>
    </row>
    <row r="37" spans="2:13" x14ac:dyDescent="0.2">
      <c r="B37" s="242" t="s">
        <v>48</v>
      </c>
      <c r="C37" s="244" t="s">
        <v>44</v>
      </c>
      <c r="D37" s="242" t="s">
        <v>38</v>
      </c>
      <c r="E37" s="237" t="s">
        <v>49</v>
      </c>
      <c r="F37" s="247"/>
      <c r="G37" s="244" t="s">
        <v>21</v>
      </c>
      <c r="H37" s="244" t="s">
        <v>22</v>
      </c>
      <c r="I37" s="244" t="s">
        <v>47</v>
      </c>
      <c r="J37" s="242" t="s">
        <v>23</v>
      </c>
      <c r="K37" s="238" t="s">
        <v>24</v>
      </c>
      <c r="L37" s="242" t="s">
        <v>137</v>
      </c>
      <c r="M37" s="242" t="s">
        <v>138</v>
      </c>
    </row>
    <row r="38" spans="2:13" ht="13.5" thickBot="1" x14ac:dyDescent="0.25">
      <c r="B38" s="243"/>
      <c r="C38" s="245"/>
      <c r="D38" s="246"/>
      <c r="E38" s="248"/>
      <c r="F38" s="249"/>
      <c r="G38" s="245"/>
      <c r="H38" s="245"/>
      <c r="I38" s="245"/>
      <c r="J38" s="243"/>
      <c r="K38" s="256"/>
      <c r="L38" s="243"/>
      <c r="M38" s="243"/>
    </row>
    <row r="39" spans="2:13" ht="15.75" x14ac:dyDescent="0.2">
      <c r="B39" s="150" t="s">
        <v>145</v>
      </c>
      <c r="C39" s="151" t="s">
        <v>153</v>
      </c>
      <c r="D39" s="152">
        <v>1.05</v>
      </c>
      <c r="E39" s="195" t="s">
        <v>63</v>
      </c>
      <c r="F39" s="196" t="s">
        <v>154</v>
      </c>
      <c r="G39" s="139">
        <v>5.1999999999999998E-3</v>
      </c>
      <c r="H39" s="141">
        <v>4</v>
      </c>
      <c r="I39" s="134">
        <f>G39*H39</f>
        <v>2.0799999999999999E-2</v>
      </c>
      <c r="J39" s="191" t="s">
        <v>155</v>
      </c>
      <c r="K39" s="153"/>
      <c r="L39" s="153"/>
      <c r="M39" s="154"/>
    </row>
    <row r="40" spans="2:13" ht="15.75" x14ac:dyDescent="0.2">
      <c r="B40" s="155"/>
      <c r="C40" s="192"/>
      <c r="D40" s="133"/>
      <c r="E40" s="133"/>
      <c r="F40" s="125"/>
      <c r="G40" s="139"/>
      <c r="H40" s="141"/>
      <c r="I40" s="134"/>
      <c r="J40" s="142"/>
      <c r="K40" s="141"/>
      <c r="L40" s="141"/>
      <c r="M40" s="156"/>
    </row>
    <row r="41" spans="2:13" ht="15.75" x14ac:dyDescent="0.2">
      <c r="B41" s="157"/>
      <c r="C41" s="139"/>
      <c r="D41" s="133"/>
      <c r="E41" s="130"/>
      <c r="F41" s="131"/>
      <c r="G41" s="132"/>
      <c r="H41" s="143"/>
      <c r="I41" s="134"/>
      <c r="J41" s="134"/>
      <c r="K41" s="141"/>
      <c r="L41" s="141"/>
      <c r="M41" s="158"/>
    </row>
    <row r="42" spans="2:13" ht="15.75" x14ac:dyDescent="0.2">
      <c r="B42" s="157"/>
      <c r="C42" s="140"/>
      <c r="D42" s="133"/>
      <c r="E42" s="133"/>
      <c r="F42" s="125"/>
      <c r="G42" s="134"/>
      <c r="H42" s="143"/>
      <c r="I42" s="134"/>
      <c r="J42" s="142"/>
      <c r="K42" s="141"/>
      <c r="L42" s="141"/>
      <c r="M42" s="159"/>
    </row>
    <row r="43" spans="2:13" ht="15.75" x14ac:dyDescent="0.2">
      <c r="B43" s="157"/>
      <c r="C43" s="140"/>
      <c r="D43" s="133"/>
      <c r="E43" s="133"/>
      <c r="F43" s="125"/>
      <c r="G43" s="134"/>
      <c r="H43" s="141"/>
      <c r="I43" s="134"/>
      <c r="J43" s="142"/>
      <c r="K43" s="141"/>
      <c r="L43" s="141"/>
      <c r="M43" s="158"/>
    </row>
    <row r="44" spans="2:13" ht="17.100000000000001" customHeight="1" x14ac:dyDescent="0.2">
      <c r="B44" s="157"/>
      <c r="C44" s="139"/>
      <c r="D44" s="133"/>
      <c r="E44" s="133"/>
      <c r="F44" s="125"/>
      <c r="G44" s="134"/>
      <c r="H44" s="143"/>
      <c r="I44" s="134"/>
      <c r="J44" s="142"/>
      <c r="K44" s="141"/>
      <c r="L44" s="141"/>
      <c r="M44" s="158"/>
    </row>
    <row r="45" spans="2:13" ht="17.100000000000001" customHeight="1" x14ac:dyDescent="0.25">
      <c r="B45" s="157"/>
      <c r="C45" s="139"/>
      <c r="D45" s="125"/>
      <c r="E45" s="145"/>
      <c r="F45" s="145"/>
      <c r="G45" s="146"/>
      <c r="H45" s="141"/>
      <c r="I45" s="134"/>
      <c r="J45" s="142"/>
      <c r="K45" s="147"/>
      <c r="L45" s="148"/>
      <c r="M45" s="158"/>
    </row>
    <row r="46" spans="2:13" ht="17.100000000000001" customHeight="1" x14ac:dyDescent="0.25">
      <c r="B46" s="157"/>
      <c r="C46" s="139"/>
      <c r="D46" s="125"/>
      <c r="E46" s="145"/>
      <c r="F46" s="145"/>
      <c r="G46" s="146"/>
      <c r="H46" s="141"/>
      <c r="I46" s="134"/>
      <c r="J46" s="142"/>
      <c r="K46" s="147"/>
      <c r="L46" s="148"/>
      <c r="M46" s="160"/>
    </row>
    <row r="47" spans="2:13" ht="17.100000000000001" customHeight="1" x14ac:dyDescent="0.25">
      <c r="B47" s="157"/>
      <c r="C47" s="139"/>
      <c r="D47" s="125"/>
      <c r="E47" s="149"/>
      <c r="F47" s="145"/>
      <c r="G47" s="146"/>
      <c r="H47" s="141"/>
      <c r="I47" s="134"/>
      <c r="J47" s="125"/>
      <c r="K47" s="147"/>
      <c r="L47" s="148"/>
      <c r="M47" s="160"/>
    </row>
    <row r="48" spans="2:13" ht="17.100000000000001" customHeight="1" thickBot="1" x14ac:dyDescent="0.25">
      <c r="B48" s="161"/>
      <c r="C48" s="162"/>
      <c r="D48" s="162"/>
      <c r="E48" s="163"/>
      <c r="F48" s="163"/>
      <c r="G48" s="162"/>
      <c r="H48" s="162"/>
      <c r="I48" s="164"/>
      <c r="J48" s="162"/>
      <c r="K48" s="162"/>
      <c r="L48" s="162"/>
      <c r="M48" s="165"/>
    </row>
    <row r="49" spans="2:13" ht="17.100000000000001" customHeight="1" thickBot="1" x14ac:dyDescent="0.3">
      <c r="B49" s="257" t="s">
        <v>18</v>
      </c>
      <c r="C49" s="258"/>
      <c r="D49" s="258"/>
      <c r="E49" s="258"/>
      <c r="F49" s="258"/>
      <c r="G49" s="259"/>
      <c r="H49" s="135"/>
      <c r="I49" s="136">
        <f>SUM(I39:I48)</f>
        <v>2.0799999999999999E-2</v>
      </c>
      <c r="J49" s="137"/>
      <c r="K49" s="138"/>
      <c r="L49" s="313">
        <v>1.4999999999999999E-2</v>
      </c>
      <c r="M49" s="314">
        <v>2.5000000000000001E-2</v>
      </c>
    </row>
    <row r="50" spans="2:13" ht="17.100000000000001" customHeight="1" thickBot="1" x14ac:dyDescent="0.3">
      <c r="B50" s="100" t="s">
        <v>26</v>
      </c>
      <c r="C50" s="271" t="s">
        <v>139</v>
      </c>
      <c r="D50" s="272"/>
      <c r="E50" s="272"/>
      <c r="F50" s="272"/>
      <c r="G50" s="272"/>
      <c r="H50" s="273"/>
      <c r="I50" s="96"/>
      <c r="J50" s="96"/>
      <c r="K50" s="96"/>
      <c r="L50" s="96"/>
      <c r="M50" s="97"/>
    </row>
    <row r="51" spans="2:13" ht="17.100000000000001" customHeight="1" x14ac:dyDescent="0.2">
      <c r="B51" s="98" t="s">
        <v>27</v>
      </c>
      <c r="C51" s="260"/>
      <c r="D51" s="261"/>
      <c r="E51" s="261"/>
      <c r="F51" s="261"/>
      <c r="G51" s="261"/>
      <c r="H51" s="261"/>
      <c r="I51" s="254"/>
      <c r="J51" s="254"/>
      <c r="K51" s="254"/>
      <c r="L51" s="254"/>
      <c r="M51" s="255"/>
    </row>
    <row r="52" spans="2:13" ht="17.100000000000001" customHeight="1" x14ac:dyDescent="0.2">
      <c r="B52" s="98" t="s">
        <v>29</v>
      </c>
      <c r="C52" s="262"/>
      <c r="D52" s="263"/>
      <c r="E52" s="263"/>
      <c r="F52" s="263"/>
      <c r="G52" s="263"/>
      <c r="H52" s="263"/>
      <c r="I52" s="263"/>
      <c r="J52" s="263"/>
      <c r="K52" s="263"/>
      <c r="L52" s="263"/>
      <c r="M52" s="264"/>
    </row>
    <row r="53" spans="2:13" ht="17.100000000000001" customHeight="1" thickBot="1" x14ac:dyDescent="0.25">
      <c r="B53" s="99" t="s">
        <v>28</v>
      </c>
      <c r="C53" s="265"/>
      <c r="D53" s="266"/>
      <c r="E53" s="266"/>
      <c r="F53" s="266"/>
      <c r="G53" s="266"/>
      <c r="H53" s="266"/>
      <c r="I53" s="266"/>
      <c r="J53" s="266"/>
      <c r="K53" s="266"/>
      <c r="L53" s="266"/>
      <c r="M53" s="267"/>
    </row>
    <row r="54" spans="2:13" ht="17.100000000000001" customHeight="1" x14ac:dyDescent="0.2">
      <c r="B54" s="268" t="s">
        <v>42</v>
      </c>
      <c r="C54" s="269"/>
      <c r="D54" s="269"/>
      <c r="E54" s="270"/>
      <c r="F54" s="93"/>
      <c r="G54" s="268" t="s">
        <v>33</v>
      </c>
      <c r="H54" s="269"/>
      <c r="I54" s="270"/>
      <c r="J54" s="274"/>
      <c r="K54" s="275"/>
      <c r="L54" s="275"/>
      <c r="M54" s="276"/>
    </row>
    <row r="55" spans="2:13" ht="17.100000000000001" customHeight="1" x14ac:dyDescent="0.2">
      <c r="B55" s="253" t="s">
        <v>30</v>
      </c>
      <c r="C55" s="254"/>
      <c r="D55" s="254"/>
      <c r="E55" s="255"/>
      <c r="F55" s="94"/>
      <c r="G55" s="253" t="s">
        <v>34</v>
      </c>
      <c r="H55" s="254"/>
      <c r="I55" s="255"/>
      <c r="J55" s="277"/>
      <c r="K55" s="278"/>
      <c r="L55" s="278"/>
      <c r="M55" s="279"/>
    </row>
    <row r="56" spans="2:13" ht="17.100000000000001" customHeight="1" x14ac:dyDescent="0.2">
      <c r="B56" s="253" t="s">
        <v>31</v>
      </c>
      <c r="C56" s="254"/>
      <c r="D56" s="254"/>
      <c r="E56" s="255"/>
      <c r="F56" s="94"/>
      <c r="G56" s="253" t="s">
        <v>35</v>
      </c>
      <c r="H56" s="254"/>
      <c r="I56" s="255"/>
      <c r="J56" s="296"/>
      <c r="K56" s="297"/>
      <c r="L56" s="297"/>
      <c r="M56" s="298"/>
    </row>
    <row r="57" spans="2:13" ht="17.100000000000001" customHeight="1" thickBot="1" x14ac:dyDescent="0.25">
      <c r="B57" s="250" t="s">
        <v>32</v>
      </c>
      <c r="C57" s="251"/>
      <c r="D57" s="251"/>
      <c r="E57" s="252"/>
      <c r="F57" s="95"/>
      <c r="G57" s="250" t="s">
        <v>36</v>
      </c>
      <c r="H57" s="251"/>
      <c r="I57" s="252"/>
      <c r="J57" s="250"/>
      <c r="K57" s="251"/>
      <c r="L57" s="251"/>
      <c r="M57" s="252"/>
    </row>
    <row r="58" spans="2:13" ht="17.100000000000001" customHeight="1" thickBot="1" x14ac:dyDescent="0.25">
      <c r="B58" s="101" t="s">
        <v>37</v>
      </c>
      <c r="C58" s="92"/>
      <c r="D58" s="92"/>
      <c r="E58" s="92"/>
      <c r="F58" s="92"/>
      <c r="G58" s="102"/>
      <c r="H58" s="92"/>
      <c r="I58" s="92"/>
      <c r="J58" s="289"/>
      <c r="K58" s="290"/>
      <c r="L58" s="290"/>
      <c r="M58" s="291"/>
    </row>
    <row r="59" spans="2:13" ht="17.100000000000001" customHeight="1" x14ac:dyDescent="0.2">
      <c r="B59" s="268" t="s">
        <v>46</v>
      </c>
      <c r="C59" s="292"/>
      <c r="D59" s="103"/>
      <c r="E59" s="293" t="s">
        <v>40</v>
      </c>
      <c r="F59" s="292"/>
      <c r="G59" s="293" t="s">
        <v>40</v>
      </c>
      <c r="H59" s="269"/>
      <c r="I59" s="292"/>
      <c r="J59" s="293" t="s">
        <v>40</v>
      </c>
      <c r="K59" s="269"/>
      <c r="L59" s="269"/>
      <c r="M59" s="270"/>
    </row>
    <row r="60" spans="2:13" ht="17.100000000000001" customHeight="1" thickBot="1" x14ac:dyDescent="0.25">
      <c r="B60" s="250" t="s">
        <v>39</v>
      </c>
      <c r="C60" s="294"/>
      <c r="D60" s="104"/>
      <c r="E60" s="295" t="s">
        <v>39</v>
      </c>
      <c r="F60" s="294"/>
      <c r="G60" s="295" t="s">
        <v>40</v>
      </c>
      <c r="H60" s="251"/>
      <c r="I60" s="294"/>
      <c r="J60" s="295" t="s">
        <v>40</v>
      </c>
      <c r="K60" s="251"/>
      <c r="L60" s="251"/>
      <c r="M60" s="252"/>
    </row>
    <row r="61" spans="2:13" ht="35.25" customHeight="1" thickBot="1" x14ac:dyDescent="0.25">
      <c r="B61" s="280" t="s">
        <v>41</v>
      </c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2"/>
    </row>
  </sheetData>
  <mergeCells count="67">
    <mergeCell ref="B61:M61"/>
    <mergeCell ref="B2:M3"/>
    <mergeCell ref="J58:M58"/>
    <mergeCell ref="B59:C59"/>
    <mergeCell ref="E59:F59"/>
    <mergeCell ref="G59:I59"/>
    <mergeCell ref="J59:M59"/>
    <mergeCell ref="B60:C60"/>
    <mergeCell ref="E60:F60"/>
    <mergeCell ref="G60:I60"/>
    <mergeCell ref="J60:M60"/>
    <mergeCell ref="B56:E56"/>
    <mergeCell ref="G56:I56"/>
    <mergeCell ref="J56:M56"/>
    <mergeCell ref="B57:E57"/>
    <mergeCell ref="G57:I57"/>
    <mergeCell ref="J57:M57"/>
    <mergeCell ref="B55:E55"/>
    <mergeCell ref="G55:I55"/>
    <mergeCell ref="K37:K38"/>
    <mergeCell ref="L37:L38"/>
    <mergeCell ref="M37:M38"/>
    <mergeCell ref="B49:G49"/>
    <mergeCell ref="C51:M51"/>
    <mergeCell ref="C52:M52"/>
    <mergeCell ref="C53:M53"/>
    <mergeCell ref="B54:E54"/>
    <mergeCell ref="G54:I54"/>
    <mergeCell ref="C50:H50"/>
    <mergeCell ref="J54:M55"/>
    <mergeCell ref="J25:M25"/>
    <mergeCell ref="B36:D36"/>
    <mergeCell ref="B37:B38"/>
    <mergeCell ref="C37:C38"/>
    <mergeCell ref="D37:D38"/>
    <mergeCell ref="E37:F38"/>
    <mergeCell ref="G37:G38"/>
    <mergeCell ref="H37:H38"/>
    <mergeCell ref="I37:I38"/>
    <mergeCell ref="J37:J38"/>
    <mergeCell ref="G23:G24"/>
    <mergeCell ref="L18:M18"/>
    <mergeCell ref="L19:M19"/>
    <mergeCell ref="B20:I21"/>
    <mergeCell ref="B22:I22"/>
    <mergeCell ref="H23:I23"/>
    <mergeCell ref="J24:M24"/>
    <mergeCell ref="C23:C24"/>
    <mergeCell ref="D23:D24"/>
    <mergeCell ref="E23:E24"/>
    <mergeCell ref="F23:F24"/>
    <mergeCell ref="B4:I4"/>
    <mergeCell ref="L4:M4"/>
    <mergeCell ref="B5:I19"/>
    <mergeCell ref="L5:M5"/>
    <mergeCell ref="L6:M6"/>
    <mergeCell ref="L7:M7"/>
    <mergeCell ref="L15:M15"/>
    <mergeCell ref="L8:M8"/>
    <mergeCell ref="L9:M9"/>
    <mergeCell ref="L10:M10"/>
    <mergeCell ref="L11:M11"/>
    <mergeCell ref="L12:M12"/>
    <mergeCell ref="L13:M13"/>
    <mergeCell ref="L14:M14"/>
    <mergeCell ref="L16:M16"/>
    <mergeCell ref="L17:M17"/>
  </mergeCells>
  <pageMargins left="0.25" right="0.25" top="0.75" bottom="0.75" header="0.3" footer="0.3"/>
  <pageSetup paperSize="9" scale="3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showGridLines="0" view="pageBreakPreview" zoomScale="60" zoomScaleNormal="100" workbookViewId="0">
      <selection activeCell="G26" sqref="G26"/>
    </sheetView>
  </sheetViews>
  <sheetFormatPr defaultRowHeight="15" x14ac:dyDescent="0.25"/>
  <cols>
    <col min="1" max="1" width="15.140625" style="45" customWidth="1"/>
    <col min="2" max="2" width="4.7109375" style="45" customWidth="1"/>
    <col min="3" max="3" width="14.7109375" style="45" customWidth="1"/>
    <col min="4" max="4" width="4.85546875" style="45" customWidth="1"/>
    <col min="5" max="5" width="14.42578125" style="45" customWidth="1"/>
    <col min="6" max="6" width="5" style="45" customWidth="1"/>
    <col min="7" max="7" width="16.140625" style="45" customWidth="1"/>
    <col min="8" max="8" width="4.140625" style="45" customWidth="1"/>
    <col min="9" max="9" width="24.5703125" style="45" customWidth="1"/>
    <col min="10" max="18" width="9.140625" style="45"/>
    <col min="19" max="19" width="7.7109375" style="45" customWidth="1"/>
    <col min="20" max="16384" width="9.140625" style="45"/>
  </cols>
  <sheetData>
    <row r="1" spans="1:9" ht="15.75" thickBot="1" x14ac:dyDescent="0.3"/>
    <row r="2" spans="1:9" x14ac:dyDescent="0.25">
      <c r="A2" s="301" t="s">
        <v>114</v>
      </c>
      <c r="B2" s="302"/>
      <c r="C2" s="302"/>
      <c r="D2" s="302"/>
      <c r="E2" s="302"/>
      <c r="F2" s="302"/>
      <c r="G2" s="302"/>
      <c r="H2" s="302"/>
      <c r="I2" s="303"/>
    </row>
    <row r="3" spans="1:9" x14ac:dyDescent="0.25">
      <c r="A3" s="304"/>
      <c r="B3" s="305"/>
      <c r="C3" s="305"/>
      <c r="D3" s="305"/>
      <c r="E3" s="305"/>
      <c r="F3" s="305"/>
      <c r="G3" s="305"/>
      <c r="H3" s="305"/>
      <c r="I3" s="306"/>
    </row>
    <row r="4" spans="1:9" ht="15.75" thickBot="1" x14ac:dyDescent="0.3">
      <c r="A4" s="307"/>
      <c r="B4" s="308"/>
      <c r="C4" s="308"/>
      <c r="D4" s="308"/>
      <c r="E4" s="308"/>
      <c r="F4" s="308"/>
      <c r="G4" s="308"/>
      <c r="H4" s="308"/>
      <c r="I4" s="309"/>
    </row>
    <row r="5" spans="1:9" x14ac:dyDescent="0.25">
      <c r="A5" s="46" t="s">
        <v>115</v>
      </c>
      <c r="B5" s="47"/>
      <c r="C5" s="47"/>
      <c r="D5" s="47"/>
      <c r="E5" s="47"/>
      <c r="F5" s="47" t="s">
        <v>116</v>
      </c>
      <c r="G5" s="47"/>
      <c r="H5" s="47"/>
      <c r="I5" s="48"/>
    </row>
    <row r="6" spans="1:9" x14ac:dyDescent="0.25">
      <c r="A6" s="49"/>
      <c r="I6" s="50"/>
    </row>
    <row r="7" spans="1:9" x14ac:dyDescent="0.25">
      <c r="A7" s="49"/>
      <c r="I7" s="50"/>
    </row>
    <row r="8" spans="1:9" x14ac:dyDescent="0.25">
      <c r="A8" s="49"/>
      <c r="I8" s="50"/>
    </row>
    <row r="9" spans="1:9" x14ac:dyDescent="0.25">
      <c r="A9" s="49"/>
      <c r="I9" s="50"/>
    </row>
    <row r="10" spans="1:9" x14ac:dyDescent="0.25">
      <c r="A10" s="49"/>
      <c r="I10" s="50"/>
    </row>
    <row r="11" spans="1:9" x14ac:dyDescent="0.25">
      <c r="A11" s="49"/>
      <c r="I11" s="50"/>
    </row>
    <row r="12" spans="1:9" x14ac:dyDescent="0.25">
      <c r="A12" s="49"/>
      <c r="I12" s="50"/>
    </row>
    <row r="13" spans="1:9" x14ac:dyDescent="0.25">
      <c r="A13" s="49"/>
      <c r="I13" s="50"/>
    </row>
    <row r="14" spans="1:9" x14ac:dyDescent="0.25">
      <c r="A14" s="49"/>
      <c r="I14" s="50"/>
    </row>
    <row r="15" spans="1:9" x14ac:dyDescent="0.25">
      <c r="A15" s="49"/>
      <c r="I15" s="50"/>
    </row>
    <row r="16" spans="1:9" x14ac:dyDescent="0.25">
      <c r="A16" s="49"/>
      <c r="I16" s="50"/>
    </row>
    <row r="17" spans="1:9" x14ac:dyDescent="0.25">
      <c r="A17" s="49"/>
      <c r="I17" s="50"/>
    </row>
    <row r="18" spans="1:9" x14ac:dyDescent="0.25">
      <c r="A18" s="49"/>
      <c r="I18" s="50"/>
    </row>
    <row r="19" spans="1:9" x14ac:dyDescent="0.25">
      <c r="A19" s="49"/>
      <c r="I19" s="50"/>
    </row>
    <row r="20" spans="1:9" x14ac:dyDescent="0.25">
      <c r="A20" s="49"/>
      <c r="I20" s="50"/>
    </row>
    <row r="21" spans="1:9" x14ac:dyDescent="0.25">
      <c r="A21" s="49"/>
      <c r="I21" s="50"/>
    </row>
    <row r="22" spans="1:9" x14ac:dyDescent="0.25">
      <c r="A22" s="49"/>
      <c r="I22" s="50"/>
    </row>
    <row r="23" spans="1:9" x14ac:dyDescent="0.25">
      <c r="A23" s="49"/>
      <c r="I23" s="50"/>
    </row>
    <row r="24" spans="1:9" x14ac:dyDescent="0.25">
      <c r="A24" s="49"/>
      <c r="I24" s="50"/>
    </row>
    <row r="25" spans="1:9" x14ac:dyDescent="0.25">
      <c r="A25" s="49"/>
      <c r="I25" s="50"/>
    </row>
    <row r="26" spans="1:9" x14ac:dyDescent="0.25">
      <c r="A26" s="49"/>
      <c r="I26" s="50"/>
    </row>
    <row r="27" spans="1:9" ht="15.75" thickBot="1" x14ac:dyDescent="0.3">
      <c r="A27" s="51"/>
      <c r="B27" s="52"/>
      <c r="C27" s="52"/>
      <c r="D27" s="52"/>
      <c r="E27" s="52"/>
      <c r="F27" s="52"/>
      <c r="G27" s="52"/>
      <c r="H27" s="52"/>
      <c r="I27" s="53"/>
    </row>
    <row r="28" spans="1:9" x14ac:dyDescent="0.25">
      <c r="A28" s="49" t="s">
        <v>117</v>
      </c>
      <c r="I28" s="50"/>
    </row>
    <row r="29" spans="1:9" x14ac:dyDescent="0.25">
      <c r="A29" s="49"/>
      <c r="I29" s="50"/>
    </row>
    <row r="30" spans="1:9" x14ac:dyDescent="0.25">
      <c r="A30" s="49"/>
      <c r="I30" s="50"/>
    </row>
    <row r="31" spans="1:9" x14ac:dyDescent="0.25">
      <c r="A31" s="49"/>
      <c r="I31" s="50"/>
    </row>
    <row r="32" spans="1:9" x14ac:dyDescent="0.25">
      <c r="A32" s="49"/>
      <c r="I32" s="50"/>
    </row>
    <row r="33" spans="1:9" x14ac:dyDescent="0.25">
      <c r="A33" s="49"/>
      <c r="I33" s="50"/>
    </row>
    <row r="34" spans="1:9" x14ac:dyDescent="0.25">
      <c r="A34" s="49"/>
      <c r="I34" s="50"/>
    </row>
    <row r="35" spans="1:9" x14ac:dyDescent="0.25">
      <c r="A35" s="49"/>
      <c r="I35" s="50"/>
    </row>
    <row r="36" spans="1:9" x14ac:dyDescent="0.25">
      <c r="A36" s="49"/>
      <c r="I36" s="50"/>
    </row>
    <row r="37" spans="1:9" x14ac:dyDescent="0.25">
      <c r="A37" s="49"/>
      <c r="I37" s="50"/>
    </row>
    <row r="38" spans="1:9" x14ac:dyDescent="0.25">
      <c r="A38" s="49"/>
      <c r="I38" s="50"/>
    </row>
    <row r="39" spans="1:9" x14ac:dyDescent="0.25">
      <c r="A39" s="49"/>
      <c r="I39" s="50"/>
    </row>
    <row r="40" spans="1:9" x14ac:dyDescent="0.25">
      <c r="A40" s="49"/>
      <c r="I40" s="50"/>
    </row>
    <row r="41" spans="1:9" x14ac:dyDescent="0.25">
      <c r="A41" s="49"/>
      <c r="I41" s="50"/>
    </row>
    <row r="42" spans="1:9" x14ac:dyDescent="0.25">
      <c r="A42" s="49"/>
      <c r="I42" s="50"/>
    </row>
    <row r="43" spans="1:9" x14ac:dyDescent="0.25">
      <c r="A43" s="49"/>
      <c r="I43" s="50"/>
    </row>
    <row r="44" spans="1:9" x14ac:dyDescent="0.25">
      <c r="A44" s="49"/>
      <c r="I44" s="50"/>
    </row>
    <row r="45" spans="1:9" x14ac:dyDescent="0.25">
      <c r="A45" s="49"/>
      <c r="I45" s="50"/>
    </row>
    <row r="46" spans="1:9" x14ac:dyDescent="0.25">
      <c r="A46" s="49"/>
      <c r="I46" s="50"/>
    </row>
    <row r="47" spans="1:9" x14ac:dyDescent="0.25">
      <c r="A47" s="49"/>
      <c r="I47" s="50"/>
    </row>
    <row r="48" spans="1:9" x14ac:dyDescent="0.25">
      <c r="A48" s="49"/>
      <c r="I48" s="50"/>
    </row>
    <row r="49" spans="1:9" x14ac:dyDescent="0.25">
      <c r="A49" s="49"/>
      <c r="I49" s="50"/>
    </row>
    <row r="50" spans="1:9" x14ac:dyDescent="0.25">
      <c r="A50" s="49"/>
      <c r="I50" s="50"/>
    </row>
    <row r="51" spans="1:9" x14ac:dyDescent="0.25">
      <c r="A51" s="49"/>
      <c r="I51" s="50"/>
    </row>
    <row r="52" spans="1:9" ht="15.75" thickBot="1" x14ac:dyDescent="0.3">
      <c r="A52" s="49"/>
      <c r="I52" s="50"/>
    </row>
    <row r="53" spans="1:9" ht="15.75" thickBot="1" x14ac:dyDescent="0.3">
      <c r="A53" s="54" t="s">
        <v>118</v>
      </c>
      <c r="B53" s="55"/>
      <c r="C53" s="55"/>
      <c r="D53" s="55"/>
      <c r="E53" s="55"/>
      <c r="F53" s="55"/>
      <c r="G53" s="55"/>
      <c r="H53" s="55"/>
      <c r="I53" s="56"/>
    </row>
    <row r="54" spans="1:9" ht="15.75" thickBot="1" x14ac:dyDescent="0.3">
      <c r="A54" s="57"/>
      <c r="B54" s="58"/>
      <c r="C54" s="58"/>
      <c r="D54" s="58"/>
      <c r="E54" s="58"/>
      <c r="F54" s="58"/>
      <c r="G54" s="58"/>
      <c r="H54" s="58"/>
      <c r="I54" s="59"/>
    </row>
    <row r="55" spans="1:9" ht="19.5" customHeight="1" thickBot="1" x14ac:dyDescent="0.3">
      <c r="A55" s="60" t="s">
        <v>119</v>
      </c>
      <c r="B55" s="58"/>
      <c r="C55" s="60" t="s">
        <v>119</v>
      </c>
      <c r="D55" s="58"/>
      <c r="E55" s="60" t="s">
        <v>119</v>
      </c>
      <c r="F55" s="58"/>
      <c r="G55" s="60" t="s">
        <v>119</v>
      </c>
      <c r="H55" s="58"/>
      <c r="I55" s="60" t="s">
        <v>119</v>
      </c>
    </row>
    <row r="56" spans="1:9" ht="15.75" thickBot="1" x14ac:dyDescent="0.3">
      <c r="A56" s="61"/>
      <c r="B56" s="58"/>
      <c r="C56" s="62"/>
      <c r="D56" s="58"/>
      <c r="E56" s="62"/>
      <c r="F56" s="58"/>
      <c r="G56" s="62"/>
      <c r="H56" s="58"/>
      <c r="I56" s="59"/>
    </row>
    <row r="57" spans="1:9" ht="19.5" customHeight="1" thickBot="1" x14ac:dyDescent="0.3">
      <c r="A57" s="60" t="s">
        <v>119</v>
      </c>
      <c r="B57" s="58"/>
      <c r="C57" s="60" t="s">
        <v>119</v>
      </c>
      <c r="D57" s="58"/>
      <c r="E57" s="60" t="s">
        <v>119</v>
      </c>
      <c r="F57" s="58"/>
      <c r="G57" s="60" t="s">
        <v>119</v>
      </c>
      <c r="H57" s="58"/>
      <c r="I57" s="60" t="s">
        <v>119</v>
      </c>
    </row>
    <row r="58" spans="1:9" ht="15.75" thickBot="1" x14ac:dyDescent="0.3">
      <c r="A58" s="57"/>
      <c r="B58" s="58"/>
      <c r="C58" s="58"/>
      <c r="D58" s="58"/>
      <c r="E58" s="58"/>
      <c r="F58" s="58"/>
      <c r="G58" s="58"/>
      <c r="H58" s="58"/>
      <c r="I58" s="59"/>
    </row>
    <row r="59" spans="1:9" ht="15.75" thickBot="1" x14ac:dyDescent="0.3">
      <c r="A59" s="54"/>
      <c r="B59" s="55"/>
      <c r="C59" s="55"/>
      <c r="D59" s="55"/>
      <c r="E59" s="55"/>
      <c r="F59" s="55"/>
      <c r="G59" s="310" t="s">
        <v>120</v>
      </c>
      <c r="H59" s="311"/>
      <c r="I59" s="312"/>
    </row>
  </sheetData>
  <mergeCells count="2">
    <mergeCell ref="A2:I4"/>
    <mergeCell ref="G59:I59"/>
  </mergeCells>
  <pageMargins left="0.62" right="0.7" top="0.26" bottom="0.28000000000000003" header="0.26" footer="0.3"/>
  <pageSetup scale="8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Sheet4</vt:lpstr>
      <vt:lpstr>Sheet1 (2)</vt:lpstr>
      <vt:lpstr>'Sheet1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mandar</dc:creator>
  <cp:lastModifiedBy>Kbsoff041</cp:lastModifiedBy>
  <cp:lastPrinted>2024-05-07T05:56:20Z</cp:lastPrinted>
  <dcterms:created xsi:type="dcterms:W3CDTF">2015-03-12T05:42:27Z</dcterms:created>
  <dcterms:modified xsi:type="dcterms:W3CDTF">2026-06-02T04:43:49Z</dcterms:modified>
</cp:coreProperties>
</file>